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5"/>
  <workbookPr defaultThemeVersion="166925"/>
  <mc:AlternateContent xmlns:mc="http://schemas.openxmlformats.org/markup-compatibility/2006">
    <mc:Choice Requires="x15">
      <x15ac:absPath xmlns:x15ac="http://schemas.microsoft.com/office/spreadsheetml/2010/11/ac" url="\\lasp-store\projects\Phase_Development\IMAP-IDEX\11 Flight\_I&amp;T\Post-Env Dust Test\"/>
    </mc:Choice>
  </mc:AlternateContent>
  <xr:revisionPtr revIDLastSave="0" documentId="13_ncr:1_{311D56B0-175E-46F0-A1B0-FF9D18BF5844}" xr6:coauthVersionLast="36" xr6:coauthVersionMax="36" xr10:uidLastSave="{00000000-0000-0000-0000-000000000000}"/>
  <bookViews>
    <workbookView xWindow="-15" yWindow="465" windowWidth="33600" windowHeight="20535" firstSheet="1" activeTab="2" xr2:uid="{A1E60550-6EAA-8A49-81AD-054BDCFE1F6C}"/>
  </bookViews>
  <sheets>
    <sheet name="Cover Page, Rev History" sheetId="6" r:id="rId1"/>
    <sheet name="FM Dust Testing" sheetId="3" r:id="rId2"/>
    <sheet name="Olivine 12-3 thru 12-15" sheetId="9" r:id="rId3"/>
    <sheet name="Al 12-18 thru 12-20" sheetId="10" r:id="rId4"/>
    <sheet name="Position Diagram" sheetId="28" r:id="rId5"/>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L5" i="10" l="1"/>
  <c r="L6" i="10"/>
  <c r="L4" i="10"/>
  <c r="L3" i="10"/>
  <c r="T11" i="28" l="1"/>
  <c r="T9" i="28"/>
  <c r="L2" i="10"/>
  <c r="O56" i="3" l="1"/>
  <c r="K41" i="3"/>
  <c r="K42" i="3"/>
  <c r="K53" i="3"/>
  <c r="K43" i="3"/>
  <c r="K44" i="3"/>
  <c r="K45" i="3"/>
  <c r="K46" i="3"/>
  <c r="K47" i="3"/>
  <c r="K48" i="3"/>
  <c r="K49" i="3"/>
  <c r="K20" i="3" l="1"/>
  <c r="K21" i="3"/>
  <c r="K22" i="3"/>
  <c r="K4" i="3"/>
  <c r="K5" i="3"/>
  <c r="K6" i="3"/>
  <c r="K7" i="3"/>
  <c r="K14" i="3"/>
  <c r="K15" i="3"/>
  <c r="K16" i="3"/>
  <c r="K17" i="3"/>
  <c r="K18" i="3"/>
  <c r="K19" i="3"/>
  <c r="K23" i="3"/>
  <c r="K24" i="3"/>
  <c r="K25" i="3"/>
  <c r="K26" i="3"/>
  <c r="K27" i="3"/>
  <c r="K28" i="3"/>
  <c r="K29" i="3"/>
  <c r="K30" i="3"/>
  <c r="K31" i="3"/>
  <c r="K32" i="3"/>
  <c r="K33" i="3"/>
  <c r="K34" i="3"/>
  <c r="K35" i="3"/>
  <c r="K36" i="3"/>
  <c r="K37" i="3"/>
  <c r="K3" i="3"/>
  <c r="R7" i="3" l="1"/>
  <c r="Q9" i="3"/>
  <c r="Q8" i="3"/>
  <c r="R8" i="3" s="1"/>
  <c r="O38" i="3"/>
  <c r="Q10" i="3" l="1"/>
  <c r="R10" i="3" s="1"/>
  <c r="R9" i="3"/>
  <c r="Q11" i="3" l="1"/>
  <c r="J8" i="3"/>
  <c r="Q12" i="3" l="1"/>
  <c r="R11" i="3"/>
  <c r="K8" i="3"/>
  <c r="J9" i="3"/>
  <c r="Q13" i="3" l="1"/>
  <c r="R13" i="3" s="1"/>
  <c r="R12" i="3"/>
  <c r="K9" i="3"/>
  <c r="J10" i="3"/>
  <c r="K10" i="3" l="1"/>
  <c r="J11" i="3"/>
  <c r="J12" i="3" l="1"/>
  <c r="K11" i="3"/>
  <c r="J13" i="3" l="1"/>
  <c r="K13" i="3" s="1"/>
  <c r="K12" i="3"/>
</calcChain>
</file>

<file path=xl/sharedStrings.xml><?xml version="1.0" encoding="utf-8"?>
<sst xmlns="http://schemas.openxmlformats.org/spreadsheetml/2006/main" count="333" uniqueCount="124">
  <si>
    <t>Run</t>
  </si>
  <si>
    <t>Ref. Voltage</t>
  </si>
  <si>
    <t>Target Voltage</t>
  </si>
  <si>
    <t>Detector Voltage</t>
  </si>
  <si>
    <t>Impact Location</t>
  </si>
  <si>
    <t>Dust Material</t>
  </si>
  <si>
    <t>Impact Angle</t>
  </si>
  <si>
    <t>Impact Location (1-5)</t>
  </si>
  <si>
    <t>Azimuthal Location (1-3)</t>
  </si>
  <si>
    <t>Velocity (5-50km/s)</t>
  </si>
  <si>
    <t>Iron</t>
  </si>
  <si>
    <t>20-32</t>
  </si>
  <si>
    <t>5-8</t>
  </si>
  <si>
    <t>8-12</t>
  </si>
  <si>
    <t>12-20</t>
  </si>
  <si>
    <t>Reflectron</t>
  </si>
  <si>
    <t>Notes</t>
  </si>
  <si>
    <t>Olivine</t>
  </si>
  <si>
    <t>Impact Charge w/ Velocity</t>
  </si>
  <si>
    <t>Highlighted items are the parameters being varied</t>
  </si>
  <si>
    <t>Dust Campaign</t>
  </si>
  <si>
    <t>Repeat velocity measurements, dust source change takes a least a day</t>
  </si>
  <si>
    <t>Duration [days]</t>
  </si>
  <si>
    <t>Trigger Verification</t>
  </si>
  <si>
    <t>Dust Impacts</t>
  </si>
  <si>
    <t>General Notes:</t>
  </si>
  <si>
    <t>FM Dust Accelerator Test Categories</t>
  </si>
  <si>
    <t>GSE or Flight CSAs Used</t>
  </si>
  <si>
    <t>GSE</t>
  </si>
  <si>
    <t>Flight</t>
  </si>
  <si>
    <t>Total</t>
  </si>
  <si>
    <t>days</t>
  </si>
  <si>
    <t>Laboratory For Atmospheric and Space Physics</t>
  </si>
  <si>
    <t>LASP Engineering Division</t>
  </si>
  <si>
    <t xml:space="preserve">University of Colorado </t>
  </si>
  <si>
    <t>Boulder, Colorado</t>
  </si>
  <si>
    <t>Approvers List</t>
  </si>
  <si>
    <t>Prepared By</t>
  </si>
  <si>
    <t>Approved By</t>
  </si>
  <si>
    <t>Configuration Management</t>
  </si>
  <si>
    <t>Rev</t>
  </si>
  <si>
    <t>Change Description</t>
  </si>
  <si>
    <t>By</t>
  </si>
  <si>
    <t>A</t>
  </si>
  <si>
    <t>Initial Release</t>
  </si>
  <si>
    <t>IMAP: IDEX - Interplanetary Dust Experiment</t>
  </si>
  <si>
    <t>IDEX Calibration Test Matrix</t>
  </si>
  <si>
    <t>Kush Tyagi, IDEX Lead Systems Engineer</t>
  </si>
  <si>
    <t>Mihaly Horanyi, IDEX Principle Investigator</t>
  </si>
  <si>
    <t>Zoltan Sternovsky, IDEX CO Principle Investigator</t>
  </si>
  <si>
    <t>Kristina Davis, IDEX Instrument Engineer</t>
  </si>
  <si>
    <t>Scott Knappmiller, IDEX Lead Instrument Engineer</t>
  </si>
  <si>
    <t>SK</t>
  </si>
  <si>
    <t>LASP Document No. 172348revA</t>
  </si>
  <si>
    <t>&gt;20</t>
  </si>
  <si>
    <t>&lt;5</t>
  </si>
  <si>
    <t>&gt;32</t>
  </si>
  <si>
    <t>Dust Material / Impact Charge w/ Velocity</t>
  </si>
  <si>
    <t>Impact Charge w/ Velocity w/ Flight CSAs</t>
  </si>
  <si>
    <t>Pre-Environmental Dust Testing</t>
  </si>
  <si>
    <t>Post-Environmental Dust Testing</t>
  </si>
  <si>
    <t>May increase # of dust impacts to decrease uncertainty in mass calculation</t>
  </si>
  <si>
    <t>Vacuum Break to switch GSE CSAs to Flight CSAs</t>
  </si>
  <si>
    <t>FM SN01 Detector Nominal Voltage for Gain of 1000 is 1720V</t>
  </si>
  <si>
    <t>Trigger method, could be moved to Post-Env test</t>
  </si>
  <si>
    <t>Parabolic Grid</t>
  </si>
  <si>
    <t>Sensor Voltage</t>
  </si>
  <si>
    <t xml:space="preserve">  </t>
  </si>
  <si>
    <t>Dust Run (Johns #)</t>
  </si>
  <si>
    <t># of Hits achieved</t>
  </si>
  <si>
    <t xml:space="preserve"> # Sent Through from Accel</t>
  </si>
  <si>
    <t>Impact Location (1-6)</t>
  </si>
  <si>
    <t>Threshold (DN)</t>
  </si>
  <si>
    <t>open</t>
  </si>
  <si>
    <t>Baseline Test</t>
  </si>
  <si>
    <t>Aluminum</t>
  </si>
  <si>
    <t>Voltage Sweep</t>
  </si>
  <si>
    <t>TBD</t>
  </si>
  <si>
    <t>if neccesarry</t>
  </si>
  <si>
    <t xml:space="preserve">Optional </t>
  </si>
  <si>
    <t>&lt;2</t>
  </si>
  <si>
    <t>Look for heavy Fe particles</t>
  </si>
  <si>
    <t>3-8</t>
  </si>
  <si>
    <t>Open baseline</t>
  </si>
  <si>
    <t>2-90</t>
  </si>
  <si>
    <t>No QD data on scope for the first 8 events (trigger was set to c1 and not ext trigger, then signals were inverted)</t>
  </si>
  <si>
    <t>vel &gt; 12</t>
  </si>
  <si>
    <t>12-90</t>
  </si>
  <si>
    <t>Threshold</t>
  </si>
  <si>
    <t>First 2 events are probably the gate valve opening</t>
  </si>
  <si>
    <t>VbDet2500</t>
  </si>
  <si>
    <t>First QD event is gate valve opening, event 15 is gate valve closing as John reconditions dust source</t>
  </si>
  <si>
    <t>Detector Voltage 2500, Velocity gt 12km/sec</t>
  </si>
  <si>
    <t>Rejection voltage</t>
  </si>
  <si>
    <t>12-90km/sec</t>
  </si>
  <si>
    <t>lowered velocity to 8km/sec at ~10:30am</t>
  </si>
  <si>
    <t>Changed position to 4</t>
  </si>
  <si>
    <t>8-90km/sec</t>
  </si>
  <si>
    <t>changed position to 4, moved 22.5 rotations</t>
  </si>
  <si>
    <t>Date</t>
  </si>
  <si>
    <t xml:space="preserve">Notes from 12/14: high speed dust not flying very frequently. We still have microphonics from getter plate. </t>
  </si>
  <si>
    <t>Velocity Scan at position 4</t>
  </si>
  <si>
    <t>John is pushing the source and we are getting a lot of hits!</t>
  </si>
  <si>
    <t>The scope got 849 hits</t>
  </si>
  <si>
    <t>noise capture 8FF35217</t>
  </si>
  <si>
    <t>3-90</t>
  </si>
  <si>
    <t>run0 Al vel 3-90 det 2500 pos5</t>
  </si>
  <si>
    <t>potentially have an error in the recording of QD data on the IMPACT server. So we may not have any matching data for QD signals from the IMACT server metadata to compare to scope data</t>
  </si>
  <si>
    <t>run1</t>
  </si>
  <si>
    <t>run2</t>
  </si>
  <si>
    <t>10-90</t>
  </si>
  <si>
    <t>run3</t>
  </si>
  <si>
    <t>aid 8ff3521c</t>
  </si>
  <si>
    <t>aid 8ff3521d</t>
  </si>
  <si>
    <t>10-91</t>
  </si>
  <si>
    <t>10-92</t>
  </si>
  <si>
    <t>run4</t>
  </si>
  <si>
    <t xml:space="preserve">run0 </t>
  </si>
  <si>
    <t>Al</t>
  </si>
  <si>
    <t>flight</t>
  </si>
  <si>
    <t>12-91</t>
  </si>
  <si>
    <t xml:space="preserve">The number of scope hits does not match the number of events form the instrument. We may be +/-1 due to quick dust hit on the scope, but tht won't account for greater mismatches. </t>
  </si>
  <si>
    <t>Scope ended at 118 hits, but collected first 3 at the same rate. It remains unclear why they end with different counts</t>
  </si>
  <si>
    <t>Saw at least one double hit on the scope, perhaps double hits explain the count misatch that occur over the course of an acquire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</si>
</sst>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2"/>
      <color theme="1"/>
      <name val="Calibri"/>
      <family val="2"/>
      <scheme val="minor"/>
    </font>
    <font>
      <b/>
      <sz val="12"/>
      <color theme="1"/>
      <name val="Calibri"/>
      <family val="2"/>
      <scheme val="minor"/>
    </font>
    <font>
      <sz val="11"/>
      <color theme="1"/>
      <name val="Calibri"/>
      <family val="2"/>
      <scheme val="minor"/>
    </font>
    <font>
      <b/>
      <sz val="12"/>
      <name val="Arial"/>
      <family val="2"/>
    </font>
    <font>
      <b/>
      <sz val="11"/>
      <name val="Arial"/>
      <family val="2"/>
    </font>
    <font>
      <sz val="11"/>
      <color theme="1"/>
      <name val="Arial"/>
      <family val="2"/>
    </font>
    <font>
      <b/>
      <sz val="11"/>
      <color theme="1"/>
      <name val="Arial"/>
      <family val="2"/>
    </font>
    <font>
      <b/>
      <sz val="10"/>
      <name val="Arial"/>
      <family val="2"/>
    </font>
    <font>
      <sz val="8"/>
      <name val="Calibri"/>
      <family val="2"/>
      <scheme val="minor"/>
    </font>
    <font>
      <b/>
      <sz val="11"/>
      <color theme="0"/>
      <name val="Calibri"/>
      <family val="2"/>
      <scheme val="minor"/>
    </font>
  </fonts>
  <fills count="6">
    <fill>
      <patternFill patternType="none"/>
    </fill>
    <fill>
      <patternFill patternType="gray125"/>
    </fill>
    <fill>
      <patternFill patternType="solid">
        <fgColor rgb="FFFFFF00"/>
        <bgColor indexed="64"/>
      </patternFill>
    </fill>
    <fill>
      <patternFill patternType="solid">
        <fgColor rgb="FFFFC000"/>
        <bgColor indexed="64"/>
      </patternFill>
    </fill>
    <fill>
      <patternFill patternType="solid">
        <fgColor rgb="FFA5A5A5"/>
      </patternFill>
    </fill>
    <fill>
      <patternFill patternType="solid">
        <fgColor theme="1"/>
        <bgColor indexed="64"/>
      </patternFill>
    </fill>
  </fills>
  <borders count="20">
    <border>
      <left/>
      <right/>
      <top/>
      <bottom/>
      <diagonal/>
    </border>
    <border>
      <left/>
      <right/>
      <top style="thin">
        <color indexed="64"/>
      </top>
      <bottom style="double">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double">
        <color indexed="64"/>
      </left>
      <right/>
      <top style="double">
        <color indexed="64"/>
      </top>
      <bottom style="double">
        <color indexed="64"/>
      </bottom>
      <diagonal/>
    </border>
    <border>
      <left/>
      <right style="double">
        <color indexed="64"/>
      </right>
      <top style="double">
        <color indexed="64"/>
      </top>
      <bottom style="double">
        <color indexed="64"/>
      </bottom>
      <diagonal/>
    </border>
    <border>
      <left/>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double">
        <color rgb="FF3F3F3F"/>
      </left>
      <right style="double">
        <color rgb="FF3F3F3F"/>
      </right>
      <top style="double">
        <color rgb="FF3F3F3F"/>
      </top>
      <bottom style="double">
        <color rgb="FF3F3F3F"/>
      </bottom>
      <diagonal/>
    </border>
    <border>
      <left/>
      <right/>
      <top/>
      <bottom style="thin">
        <color indexed="64"/>
      </bottom>
      <diagonal/>
    </border>
  </borders>
  <cellStyleXfs count="3">
    <xf numFmtId="0" fontId="0" fillId="0" borderId="0"/>
    <xf numFmtId="0" fontId="2" fillId="0" borderId="0"/>
    <xf numFmtId="0" fontId="9" fillId="4" borderId="18" applyNumberFormat="0" applyAlignment="0" applyProtection="0"/>
  </cellStyleXfs>
  <cellXfs count="119">
    <xf numFmtId="0" fontId="0" fillId="0" borderId="0" xfId="0"/>
    <xf numFmtId="0" fontId="0" fillId="0" borderId="0" xfId="0" applyAlignment="1">
      <alignment horizontal="center"/>
    </xf>
    <xf numFmtId="49" fontId="0" fillId="0" borderId="0" xfId="0" applyNumberFormat="1" applyAlignment="1">
      <alignment horizontal="center"/>
    </xf>
    <xf numFmtId="0" fontId="0" fillId="2" borderId="0" xfId="0" applyFill="1" applyAlignment="1">
      <alignment horizontal="center"/>
    </xf>
    <xf numFmtId="49" fontId="0" fillId="2" borderId="0" xfId="0" applyNumberFormat="1" applyFill="1" applyAlignment="1">
      <alignment horizontal="center"/>
    </xf>
    <xf numFmtId="0" fontId="0" fillId="0" borderId="0" xfId="0" applyFill="1" applyAlignment="1">
      <alignment horizontal="center"/>
    </xf>
    <xf numFmtId="49" fontId="0" fillId="0" borderId="0" xfId="0" applyNumberFormat="1" applyFill="1" applyAlignment="1">
      <alignment horizontal="center"/>
    </xf>
    <xf numFmtId="0" fontId="0" fillId="2" borderId="0" xfId="0" applyFill="1"/>
    <xf numFmtId="0" fontId="1" fillId="0" borderId="0" xfId="0" applyFont="1"/>
    <xf numFmtId="0" fontId="0" fillId="0" borderId="0" xfId="0" applyAlignment="1">
      <alignment wrapText="1"/>
    </xf>
    <xf numFmtId="0" fontId="0" fillId="0" borderId="0" xfId="0" applyFill="1"/>
    <xf numFmtId="0" fontId="0" fillId="0" borderId="0" xfId="0" applyFill="1" applyAlignment="1">
      <alignment wrapText="1"/>
    </xf>
    <xf numFmtId="0" fontId="0" fillId="0" borderId="0" xfId="0" applyFont="1" applyFill="1" applyAlignment="1">
      <alignment horizontal="center"/>
    </xf>
    <xf numFmtId="0" fontId="1" fillId="0" borderId="1" xfId="0" applyFont="1" applyBorder="1" applyAlignment="1">
      <alignment wrapText="1"/>
    </xf>
    <xf numFmtId="0" fontId="1" fillId="0" borderId="1" xfId="0" applyFont="1" applyBorder="1" applyAlignment="1">
      <alignment horizontal="center" wrapText="1"/>
    </xf>
    <xf numFmtId="0" fontId="1" fillId="0" borderId="0" xfId="0" applyFont="1" applyBorder="1" applyAlignment="1">
      <alignment wrapText="1"/>
    </xf>
    <xf numFmtId="0" fontId="1" fillId="0" borderId="0" xfId="0" applyFont="1" applyBorder="1" applyAlignment="1">
      <alignment horizontal="center" wrapText="1"/>
    </xf>
    <xf numFmtId="0" fontId="0" fillId="0" borderId="2" xfId="0" applyBorder="1"/>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7" fillId="0" borderId="13" xfId="0" applyFont="1" applyBorder="1" applyAlignment="1">
      <alignment horizontal="center" vertical="center"/>
    </xf>
    <xf numFmtId="0" fontId="0" fillId="0" borderId="13" xfId="0" applyBorder="1" applyAlignment="1">
      <alignment horizontal="center" vertical="center"/>
    </xf>
    <xf numFmtId="0" fontId="0" fillId="0" borderId="0" xfId="0" applyAlignment="1">
      <alignment horizontal="center"/>
    </xf>
    <xf numFmtId="0" fontId="0" fillId="0" borderId="0" xfId="0" applyAlignment="1">
      <alignment horizontal="center"/>
    </xf>
    <xf numFmtId="0" fontId="1" fillId="0" borderId="0" xfId="0" applyFont="1" applyAlignment="1">
      <alignment wrapText="1"/>
    </xf>
    <xf numFmtId="0" fontId="1" fillId="0" borderId="0" xfId="0" applyFont="1" applyFill="1" applyAlignment="1">
      <alignment wrapText="1"/>
    </xf>
    <xf numFmtId="0" fontId="0" fillId="0" borderId="0" xfId="0" applyFont="1" applyFill="1"/>
    <xf numFmtId="0" fontId="1" fillId="0" borderId="14" xfId="0" applyFont="1" applyBorder="1" applyAlignment="1">
      <alignment wrapText="1"/>
    </xf>
    <xf numFmtId="0" fontId="0" fillId="0" borderId="14" xfId="0" applyBorder="1" applyAlignment="1">
      <alignment horizontal="center"/>
    </xf>
    <xf numFmtId="0" fontId="0" fillId="0" borderId="14" xfId="0" applyBorder="1"/>
    <xf numFmtId="49" fontId="0" fillId="0" borderId="14" xfId="0" applyNumberFormat="1" applyBorder="1" applyAlignment="1">
      <alignment horizontal="center"/>
    </xf>
    <xf numFmtId="0" fontId="0" fillId="2" borderId="14" xfId="0" applyFill="1" applyBorder="1" applyAlignment="1">
      <alignment horizontal="center"/>
    </xf>
    <xf numFmtId="0" fontId="0" fillId="0" borderId="14" xfId="0" applyFill="1" applyBorder="1" applyAlignment="1">
      <alignment horizontal="center"/>
    </xf>
    <xf numFmtId="49" fontId="0" fillId="0" borderId="14" xfId="0" applyNumberFormat="1" applyFill="1" applyBorder="1" applyAlignment="1">
      <alignment horizontal="center"/>
    </xf>
    <xf numFmtId="49" fontId="0" fillId="2" borderId="14" xfId="0" applyNumberFormat="1" applyFill="1" applyBorder="1" applyAlignment="1">
      <alignment horizontal="center"/>
    </xf>
    <xf numFmtId="0" fontId="0" fillId="3" borderId="14" xfId="0" applyFont="1" applyFill="1" applyBorder="1" applyAlignment="1">
      <alignment horizontal="center"/>
    </xf>
    <xf numFmtId="0" fontId="0" fillId="3" borderId="14" xfId="0" applyFont="1" applyFill="1" applyBorder="1"/>
    <xf numFmtId="49" fontId="0" fillId="3" borderId="14" xfId="0" applyNumberFormat="1" applyFont="1" applyFill="1" applyBorder="1" applyAlignment="1">
      <alignment horizontal="center"/>
    </xf>
    <xf numFmtId="0" fontId="0" fillId="2" borderId="14" xfId="0" applyFill="1" applyBorder="1"/>
    <xf numFmtId="0" fontId="1" fillId="0" borderId="0" xfId="0" applyFont="1" applyFill="1" applyAlignment="1">
      <alignment horizontal="center"/>
    </xf>
    <xf numFmtId="0" fontId="1" fillId="0" borderId="0" xfId="0" applyFont="1" applyAlignment="1">
      <alignment horizontal="center"/>
    </xf>
    <xf numFmtId="0" fontId="0" fillId="0" borderId="0" xfId="0" applyBorder="1" applyAlignment="1">
      <alignment horizontal="center"/>
    </xf>
    <xf numFmtId="0" fontId="0" fillId="3" borderId="14" xfId="0" applyFill="1" applyBorder="1" applyAlignment="1">
      <alignment horizontal="center"/>
    </xf>
    <xf numFmtId="0" fontId="0" fillId="0" borderId="14" xfId="0" applyFont="1" applyBorder="1" applyAlignment="1">
      <alignment wrapText="1"/>
    </xf>
    <xf numFmtId="0" fontId="0" fillId="0" borderId="0" xfId="0" applyFont="1" applyAlignment="1">
      <alignment wrapText="1"/>
    </xf>
    <xf numFmtId="0" fontId="0" fillId="3" borderId="14" xfId="0" applyFont="1" applyFill="1" applyBorder="1" applyAlignment="1">
      <alignment wrapText="1"/>
    </xf>
    <xf numFmtId="0" fontId="0" fillId="0" borderId="15" xfId="0" applyBorder="1"/>
    <xf numFmtId="0" fontId="0" fillId="0" borderId="15" xfId="0" applyFill="1" applyBorder="1" applyAlignment="1">
      <alignment horizontal="left"/>
    </xf>
    <xf numFmtId="0" fontId="0" fillId="0" borderId="17" xfId="0" applyFill="1" applyBorder="1" applyAlignment="1">
      <alignment horizontal="left"/>
    </xf>
    <xf numFmtId="0" fontId="0" fillId="0" borderId="17" xfId="0" applyBorder="1"/>
    <xf numFmtId="0" fontId="0" fillId="0" borderId="16" xfId="0" applyBorder="1"/>
    <xf numFmtId="0" fontId="0" fillId="0" borderId="0" xfId="0" applyAlignment="1">
      <alignment horizontal="center"/>
    </xf>
    <xf numFmtId="1" fontId="0" fillId="0" borderId="14" xfId="0" applyNumberFormat="1" applyBorder="1" applyAlignment="1">
      <alignment horizontal="center"/>
    </xf>
    <xf numFmtId="1" fontId="0" fillId="2" borderId="14" xfId="0" applyNumberFormat="1" applyFill="1" applyBorder="1" applyAlignment="1">
      <alignment horizontal="center"/>
    </xf>
    <xf numFmtId="0" fontId="0" fillId="0" borderId="0" xfId="0" applyAlignment="1">
      <alignment horizontal="center"/>
    </xf>
    <xf numFmtId="0" fontId="0" fillId="0" borderId="0" xfId="0" applyAlignment="1">
      <alignment horizontal="center"/>
    </xf>
    <xf numFmtId="0" fontId="9" fillId="4" borderId="18" xfId="2" applyAlignment="1">
      <alignment wrapText="1"/>
    </xf>
    <xf numFmtId="0" fontId="9" fillId="4" borderId="18" xfId="2" applyAlignment="1">
      <alignment horizontal="center"/>
    </xf>
    <xf numFmtId="0" fontId="9" fillId="4" borderId="18" xfId="2"/>
    <xf numFmtId="49" fontId="9" fillId="4" borderId="18" xfId="2" applyNumberFormat="1" applyAlignment="1">
      <alignment horizontal="center"/>
    </xf>
    <xf numFmtId="0" fontId="0" fillId="2" borderId="0" xfId="0" applyFill="1" applyBorder="1" applyAlignment="1">
      <alignment horizontal="center"/>
    </xf>
    <xf numFmtId="0" fontId="0" fillId="2" borderId="0" xfId="0" applyFill="1" applyAlignment="1">
      <alignment horizontal="center" vertical="center"/>
    </xf>
    <xf numFmtId="0" fontId="0" fillId="2" borderId="0" xfId="0" applyFill="1" applyBorder="1"/>
    <xf numFmtId="49" fontId="0" fillId="0" borderId="0" xfId="0" applyNumberFormat="1" applyFill="1" applyBorder="1" applyAlignment="1">
      <alignment horizontal="center"/>
    </xf>
    <xf numFmtId="1" fontId="0" fillId="0" borderId="0" xfId="0" applyNumberFormat="1" applyBorder="1" applyAlignment="1">
      <alignment horizontal="center"/>
    </xf>
    <xf numFmtId="0" fontId="0" fillId="2" borderId="0" xfId="0" applyFill="1" applyBorder="1" applyAlignment="1">
      <alignment horizontal="center" vertical="center"/>
    </xf>
    <xf numFmtId="49" fontId="0" fillId="2" borderId="0" xfId="0" applyNumberFormat="1" applyFill="1" applyBorder="1" applyAlignment="1">
      <alignment horizontal="center"/>
    </xf>
    <xf numFmtId="0" fontId="0" fillId="0" borderId="0" xfId="0" applyFont="1" applyBorder="1" applyAlignment="1">
      <alignment wrapText="1"/>
    </xf>
    <xf numFmtId="0" fontId="0" fillId="0" borderId="19" xfId="0" applyBorder="1"/>
    <xf numFmtId="0" fontId="0" fillId="0" borderId="19" xfId="0" applyBorder="1" applyAlignment="1">
      <alignment horizontal="center"/>
    </xf>
    <xf numFmtId="0" fontId="0" fillId="2" borderId="19" xfId="0" applyFill="1" applyBorder="1"/>
    <xf numFmtId="1" fontId="0" fillId="0" borderId="19" xfId="0" applyNumberFormat="1" applyBorder="1" applyAlignment="1">
      <alignment horizontal="center"/>
    </xf>
    <xf numFmtId="0" fontId="0" fillId="2" borderId="19" xfId="0" applyFill="1" applyBorder="1" applyAlignment="1">
      <alignment horizontal="center"/>
    </xf>
    <xf numFmtId="0" fontId="1" fillId="0" borderId="19" xfId="0" applyFont="1" applyBorder="1" applyAlignment="1">
      <alignment wrapText="1"/>
    </xf>
    <xf numFmtId="49" fontId="0" fillId="2" borderId="19" xfId="0" applyNumberFormat="1" applyFill="1" applyBorder="1" applyAlignment="1">
      <alignment horizontal="center"/>
    </xf>
    <xf numFmtId="0" fontId="0" fillId="0" borderId="0" xfId="0" applyBorder="1"/>
    <xf numFmtId="0" fontId="0" fillId="0" borderId="0" xfId="0" applyAlignment="1">
      <alignment horizontal="center"/>
    </xf>
    <xf numFmtId="0" fontId="0" fillId="0" borderId="0" xfId="0" applyAlignment="1">
      <alignment horizontal="center"/>
    </xf>
    <xf numFmtId="14" fontId="0" fillId="0" borderId="0" xfId="0" applyNumberFormat="1" applyFont="1" applyAlignment="1">
      <alignment wrapText="1"/>
    </xf>
    <xf numFmtId="0" fontId="0" fillId="5" borderId="0" xfId="0" applyFont="1" applyFill="1" applyAlignment="1">
      <alignment wrapText="1"/>
    </xf>
    <xf numFmtId="0" fontId="0" fillId="5" borderId="0" xfId="0" applyFont="1" applyFill="1" applyAlignment="1">
      <alignment horizontal="center"/>
    </xf>
    <xf numFmtId="0" fontId="0" fillId="5" borderId="0" xfId="0" applyFont="1" applyFill="1"/>
    <xf numFmtId="14" fontId="0" fillId="0" borderId="0" xfId="0" applyNumberFormat="1" applyAlignment="1">
      <alignment wrapText="1"/>
    </xf>
    <xf numFmtId="0" fontId="0" fillId="0" borderId="0" xfId="0" applyAlignment="1">
      <alignment horizontal="left"/>
    </xf>
    <xf numFmtId="0" fontId="0" fillId="0" borderId="0" xfId="0" applyAlignment="1">
      <alignment horizontal="center"/>
    </xf>
    <xf numFmtId="0" fontId="1" fillId="0" borderId="1" xfId="0" applyFont="1" applyBorder="1" applyAlignment="1"/>
    <xf numFmtId="0" fontId="0" fillId="0" borderId="0" xfId="0" applyAlignment="1"/>
    <xf numFmtId="0" fontId="0" fillId="0" borderId="0" xfId="0" applyAlignment="1">
      <alignment horizontal="center"/>
    </xf>
    <xf numFmtId="14" fontId="0" fillId="0" borderId="0" xfId="0" applyNumberFormat="1"/>
    <xf numFmtId="0" fontId="0" fillId="0" borderId="10" xfId="0" applyBorder="1" applyAlignment="1">
      <alignment vertical="center"/>
    </xf>
    <xf numFmtId="0" fontId="0" fillId="0" borderId="11" xfId="0" applyBorder="1" applyAlignment="1">
      <alignment vertical="center"/>
    </xf>
    <xf numFmtId="0" fontId="0" fillId="0" borderId="12" xfId="0" applyBorder="1" applyAlignment="1">
      <alignment vertical="center"/>
    </xf>
    <xf numFmtId="0" fontId="3" fillId="0" borderId="0" xfId="0" applyFont="1" applyAlignment="1">
      <alignment horizontal="center"/>
    </xf>
    <xf numFmtId="0" fontId="0" fillId="0" borderId="0" xfId="0" applyAlignment="1">
      <alignment horizontal="center"/>
    </xf>
    <xf numFmtId="0" fontId="4" fillId="0" borderId="0" xfId="0" applyFont="1" applyAlignment="1">
      <alignment horizontal="center"/>
    </xf>
    <xf numFmtId="0" fontId="5" fillId="0" borderId="5" xfId="0" applyFont="1" applyBorder="1" applyAlignment="1">
      <alignment horizontal="center"/>
    </xf>
    <xf numFmtId="0" fontId="5" fillId="0" borderId="0" xfId="0" applyFont="1"/>
    <xf numFmtId="0" fontId="5" fillId="0" borderId="6" xfId="0" applyFont="1" applyBorder="1"/>
    <xf numFmtId="0" fontId="6" fillId="0" borderId="0" xfId="0" applyFont="1" applyAlignment="1">
      <alignment horizontal="center"/>
    </xf>
    <xf numFmtId="0" fontId="0" fillId="0" borderId="2"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13" xfId="0" applyBorder="1" applyAlignment="1">
      <alignment vertical="center"/>
    </xf>
    <xf numFmtId="0" fontId="0" fillId="0" borderId="2" xfId="0" applyBorder="1" applyAlignment="1">
      <alignment vertical="top"/>
    </xf>
    <xf numFmtId="0" fontId="0" fillId="0" borderId="3" xfId="0" applyBorder="1" applyAlignment="1">
      <alignment vertical="top"/>
    </xf>
    <xf numFmtId="0" fontId="0" fillId="0" borderId="4" xfId="0" applyBorder="1" applyAlignment="1">
      <alignment vertical="top"/>
    </xf>
    <xf numFmtId="0" fontId="0" fillId="0" borderId="5" xfId="0" applyBorder="1" applyAlignment="1">
      <alignment vertical="top"/>
    </xf>
    <xf numFmtId="0" fontId="0" fillId="0" borderId="0" xfId="0" applyAlignment="1">
      <alignment vertical="top"/>
    </xf>
    <xf numFmtId="0" fontId="0" fillId="0" borderId="6" xfId="0" applyBorder="1" applyAlignment="1">
      <alignment vertical="top"/>
    </xf>
    <xf numFmtId="0" fontId="0" fillId="0" borderId="7" xfId="0" applyBorder="1" applyAlignment="1">
      <alignment vertical="top"/>
    </xf>
    <xf numFmtId="0" fontId="0" fillId="0" borderId="8" xfId="0" applyBorder="1" applyAlignment="1">
      <alignment vertical="top"/>
    </xf>
    <xf numFmtId="0" fontId="0" fillId="0" borderId="9" xfId="0" applyBorder="1" applyAlignment="1">
      <alignment vertical="top"/>
    </xf>
    <xf numFmtId="0" fontId="7" fillId="0" borderId="13" xfId="0" applyFont="1" applyBorder="1" applyAlignment="1">
      <alignment vertical="center"/>
    </xf>
    <xf numFmtId="0" fontId="0" fillId="0" borderId="13" xfId="0" applyBorder="1" applyAlignment="1">
      <alignment vertical="center" wrapText="1"/>
    </xf>
  </cellXfs>
  <cellStyles count="3">
    <cellStyle name="Check Cell" xfId="2" builtinId="23"/>
    <cellStyle name="Normal" xfId="0" builtinId="0"/>
    <cellStyle name="Normal 2" xfId="1" xr:uid="{C1CB7AA8-DEED-7345-8166-29BD9EF80A9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7</xdr:col>
      <xdr:colOff>552450</xdr:colOff>
      <xdr:row>24</xdr:row>
      <xdr:rowOff>123825</xdr:rowOff>
    </xdr:to>
    <xdr:pic>
      <xdr:nvPicPr>
        <xdr:cNvPr id="2" name="Picture 2" descr="image002">
          <a:extLst>
            <a:ext uri="{FF2B5EF4-FFF2-40B4-BE49-F238E27FC236}">
              <a16:creationId xmlns:a16="http://schemas.microsoft.com/office/drawing/2014/main" id="{0CB6ADA4-D0FD-4576-81C5-A49F6DE94C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00025"/>
          <a:ext cx="5353050" cy="47244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10</xdr:col>
      <xdr:colOff>85725</xdr:colOff>
      <xdr:row>0</xdr:row>
      <xdr:rowOff>180975</xdr:rowOff>
    </xdr:from>
    <xdr:to>
      <xdr:col>18</xdr:col>
      <xdr:colOff>180975</xdr:colOff>
      <xdr:row>16</xdr:row>
      <xdr:rowOff>28575</xdr:rowOff>
    </xdr:to>
    <xdr:pic>
      <xdr:nvPicPr>
        <xdr:cNvPr id="3" name="Picture 4" descr="image001">
          <a:extLst>
            <a:ext uri="{FF2B5EF4-FFF2-40B4-BE49-F238E27FC236}">
              <a16:creationId xmlns:a16="http://schemas.microsoft.com/office/drawing/2014/main" id="{FD0D41CA-D0C8-4415-AB7E-08E05BF91B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6943725" y="180975"/>
          <a:ext cx="5581650" cy="304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9</xdr:col>
      <xdr:colOff>466725</xdr:colOff>
      <xdr:row>16</xdr:row>
      <xdr:rowOff>152400</xdr:rowOff>
    </xdr:from>
    <xdr:to>
      <xdr:col>20</xdr:col>
      <xdr:colOff>219075</xdr:colOff>
      <xdr:row>43</xdr:row>
      <xdr:rowOff>190500</xdr:rowOff>
    </xdr:to>
    <xdr:pic>
      <xdr:nvPicPr>
        <xdr:cNvPr id="4" name="Picture 5" descr="image004">
          <a:extLst>
            <a:ext uri="{FF2B5EF4-FFF2-40B4-BE49-F238E27FC236}">
              <a16:creationId xmlns:a16="http://schemas.microsoft.com/office/drawing/2014/main" id="{BEF915D9-EC7F-4AEE-8B52-BB17BB0B047D}"/>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6638925" y="3352800"/>
          <a:ext cx="7296150" cy="5438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C69310-C9EB-7645-9ED3-582CC7C6D88C}">
  <dimension ref="A4:I40"/>
  <sheetViews>
    <sheetView topLeftCell="A40" zoomScale="150" zoomScaleNormal="150" workbookViewId="0">
      <selection activeCell="B19" sqref="B19:H19"/>
    </sheetView>
  </sheetViews>
  <sheetFormatPr defaultColWidth="8.875" defaultRowHeight="15.75" x14ac:dyDescent="0.25"/>
  <sheetData>
    <row r="4" spans="1:9" ht="9.75" customHeight="1" x14ac:dyDescent="0.25"/>
    <row r="5" spans="1:9" x14ac:dyDescent="0.25">
      <c r="B5" s="97" t="s">
        <v>32</v>
      </c>
      <c r="C5" s="97"/>
      <c r="D5" s="97"/>
      <c r="E5" s="97"/>
      <c r="F5" s="97"/>
      <c r="G5" s="97"/>
      <c r="H5" s="97"/>
    </row>
    <row r="6" spans="1:9" x14ac:dyDescent="0.25">
      <c r="C6" s="98" t="s">
        <v>33</v>
      </c>
      <c r="D6" s="98"/>
      <c r="E6" s="98"/>
      <c r="F6" s="98"/>
      <c r="G6" s="98"/>
    </row>
    <row r="7" spans="1:9" ht="15.95" customHeight="1" x14ac:dyDescent="0.25">
      <c r="C7" s="98" t="s">
        <v>34</v>
      </c>
      <c r="D7" s="98"/>
      <c r="E7" s="98"/>
      <c r="F7" s="98"/>
      <c r="G7" s="98"/>
    </row>
    <row r="8" spans="1:9" ht="15" customHeight="1" x14ac:dyDescent="0.25">
      <c r="C8" s="98" t="s">
        <v>35</v>
      </c>
      <c r="D8" s="98"/>
      <c r="E8" s="98"/>
      <c r="F8" s="98"/>
      <c r="G8" s="98"/>
    </row>
    <row r="9" spans="1:9" ht="16.5" thickBot="1" x14ac:dyDescent="0.3"/>
    <row r="10" spans="1:9" ht="10.5" customHeight="1" thickTop="1" x14ac:dyDescent="0.25">
      <c r="A10" s="17"/>
      <c r="B10" s="18"/>
      <c r="C10" s="18"/>
      <c r="D10" s="18"/>
      <c r="E10" s="18"/>
      <c r="F10" s="18"/>
      <c r="G10" s="18"/>
      <c r="H10" s="18"/>
      <c r="I10" s="19"/>
    </row>
    <row r="11" spans="1:9" x14ac:dyDescent="0.25">
      <c r="A11" s="20"/>
      <c r="B11" s="99" t="s">
        <v>45</v>
      </c>
      <c r="C11" s="99"/>
      <c r="D11" s="99"/>
      <c r="E11" s="99"/>
      <c r="F11" s="99"/>
      <c r="G11" s="99"/>
      <c r="H11" s="99"/>
      <c r="I11" s="21"/>
    </row>
    <row r="12" spans="1:9" ht="12.75" customHeight="1" x14ac:dyDescent="0.25">
      <c r="A12" s="100"/>
      <c r="B12" s="101"/>
      <c r="C12" s="101"/>
      <c r="D12" s="101"/>
      <c r="E12" s="101"/>
      <c r="F12" s="101"/>
      <c r="G12" s="101"/>
      <c r="H12" s="101"/>
      <c r="I12" s="102"/>
    </row>
    <row r="13" spans="1:9" ht="3.75" customHeight="1" x14ac:dyDescent="0.25">
      <c r="A13" s="20"/>
      <c r="E13" s="1"/>
      <c r="I13" s="21"/>
    </row>
    <row r="14" spans="1:9" x14ac:dyDescent="0.25">
      <c r="A14" s="20"/>
      <c r="B14" s="99" t="s">
        <v>46</v>
      </c>
      <c r="C14" s="99"/>
      <c r="D14" s="99"/>
      <c r="E14" s="99"/>
      <c r="F14" s="99"/>
      <c r="G14" s="99"/>
      <c r="H14" s="99"/>
      <c r="I14" s="21"/>
    </row>
    <row r="15" spans="1:9" ht="6" customHeight="1" x14ac:dyDescent="0.25">
      <c r="A15" s="20"/>
      <c r="I15" s="21"/>
    </row>
    <row r="16" spans="1:9" x14ac:dyDescent="0.25">
      <c r="A16" s="20"/>
      <c r="B16" s="103" t="s">
        <v>53</v>
      </c>
      <c r="C16" s="103"/>
      <c r="D16" s="103"/>
      <c r="E16" s="103"/>
      <c r="F16" s="103"/>
      <c r="G16" s="103"/>
      <c r="H16" s="103"/>
      <c r="I16" s="21"/>
    </row>
    <row r="17" spans="1:9" ht="16.5" thickBot="1" x14ac:dyDescent="0.3">
      <c r="A17" s="22"/>
      <c r="B17" s="23"/>
      <c r="C17" s="23"/>
      <c r="D17" s="23"/>
      <c r="E17" s="23"/>
      <c r="F17" s="23"/>
      <c r="G17" s="23"/>
      <c r="H17" s="23"/>
      <c r="I17" s="24"/>
    </row>
    <row r="18" spans="1:9" ht="9" customHeight="1" thickTop="1" x14ac:dyDescent="0.25"/>
    <row r="19" spans="1:9" x14ac:dyDescent="0.25">
      <c r="B19" s="97" t="s">
        <v>36</v>
      </c>
      <c r="C19" s="97"/>
      <c r="D19" s="97"/>
      <c r="E19" s="97"/>
      <c r="F19" s="97"/>
      <c r="G19" s="97"/>
      <c r="H19" s="97"/>
    </row>
    <row r="20" spans="1:9" ht="16.5" thickBot="1" x14ac:dyDescent="0.3"/>
    <row r="21" spans="1:9" ht="17.25" thickTop="1" thickBot="1" x14ac:dyDescent="0.3">
      <c r="A21" s="94" t="s">
        <v>37</v>
      </c>
      <c r="B21" s="95"/>
      <c r="C21" s="104" t="s">
        <v>51</v>
      </c>
      <c r="D21" s="105"/>
      <c r="E21" s="105"/>
      <c r="F21" s="105"/>
      <c r="G21" s="105"/>
      <c r="H21" s="105"/>
      <c r="I21" s="106"/>
    </row>
    <row r="22" spans="1:9" ht="17.25" thickTop="1" thickBot="1" x14ac:dyDescent="0.3">
      <c r="A22" s="94" t="s">
        <v>38</v>
      </c>
      <c r="B22" s="95"/>
      <c r="C22" s="94" t="s">
        <v>48</v>
      </c>
      <c r="D22" s="96"/>
      <c r="E22" s="96"/>
      <c r="F22" s="96"/>
      <c r="G22" s="96"/>
      <c r="H22" s="96"/>
      <c r="I22" s="95"/>
    </row>
    <row r="23" spans="1:9" ht="17.25" thickTop="1" thickBot="1" x14ac:dyDescent="0.3">
      <c r="A23" s="94" t="s">
        <v>38</v>
      </c>
      <c r="B23" s="95"/>
      <c r="C23" s="94" t="s">
        <v>49</v>
      </c>
      <c r="D23" s="96"/>
      <c r="E23" s="96"/>
      <c r="F23" s="96"/>
      <c r="G23" s="96"/>
      <c r="H23" s="96"/>
      <c r="I23" s="95"/>
    </row>
    <row r="24" spans="1:9" ht="17.25" thickTop="1" thickBot="1" x14ac:dyDescent="0.3">
      <c r="A24" s="94" t="s">
        <v>38</v>
      </c>
      <c r="B24" s="95"/>
      <c r="C24" s="94" t="s">
        <v>47</v>
      </c>
      <c r="D24" s="96"/>
      <c r="E24" s="96"/>
      <c r="F24" s="96"/>
      <c r="G24" s="96"/>
      <c r="H24" s="96"/>
      <c r="I24" s="95"/>
    </row>
    <row r="25" spans="1:9" ht="17.25" thickTop="1" thickBot="1" x14ac:dyDescent="0.3">
      <c r="A25" s="94" t="s">
        <v>38</v>
      </c>
      <c r="B25" s="95"/>
      <c r="C25" s="94" t="s">
        <v>50</v>
      </c>
      <c r="D25" s="96"/>
      <c r="E25" s="96"/>
      <c r="F25" s="96"/>
      <c r="G25" s="96"/>
      <c r="H25" s="96"/>
      <c r="I25" s="95"/>
    </row>
    <row r="26" spans="1:9" ht="17.25" thickTop="1" thickBot="1" x14ac:dyDescent="0.3">
      <c r="A26" s="94"/>
      <c r="B26" s="95"/>
      <c r="C26" s="94"/>
      <c r="D26" s="96"/>
      <c r="E26" s="96"/>
      <c r="F26" s="96"/>
      <c r="G26" s="96"/>
      <c r="H26" s="96"/>
      <c r="I26" s="95"/>
    </row>
    <row r="27" spans="1:9" ht="16.5" thickTop="1" x14ac:dyDescent="0.25">
      <c r="A27" s="108" t="s">
        <v>39</v>
      </c>
      <c r="B27" s="109"/>
      <c r="C27" s="109"/>
      <c r="D27" s="109"/>
      <c r="E27" s="109"/>
      <c r="F27" s="109"/>
      <c r="G27" s="109"/>
      <c r="H27" s="109"/>
      <c r="I27" s="110"/>
    </row>
    <row r="28" spans="1:9" x14ac:dyDescent="0.25">
      <c r="A28" s="111"/>
      <c r="B28" s="112"/>
      <c r="C28" s="112"/>
      <c r="D28" s="112"/>
      <c r="E28" s="112"/>
      <c r="F28" s="112"/>
      <c r="G28" s="112"/>
      <c r="H28" s="112"/>
      <c r="I28" s="113"/>
    </row>
    <row r="29" spans="1:9" x14ac:dyDescent="0.25">
      <c r="A29" s="111"/>
      <c r="B29" s="112"/>
      <c r="C29" s="112"/>
      <c r="D29" s="112"/>
      <c r="E29" s="112"/>
      <c r="F29" s="112"/>
      <c r="G29" s="112"/>
      <c r="H29" s="112"/>
      <c r="I29" s="113"/>
    </row>
    <row r="30" spans="1:9" ht="16.5" thickBot="1" x14ac:dyDescent="0.3">
      <c r="A30" s="114"/>
      <c r="B30" s="115"/>
      <c r="C30" s="115"/>
      <c r="D30" s="115"/>
      <c r="E30" s="115"/>
      <c r="F30" s="115"/>
      <c r="G30" s="115"/>
      <c r="H30" s="115"/>
      <c r="I30" s="116"/>
    </row>
    <row r="31" spans="1:9" ht="16.5" thickTop="1" x14ac:dyDescent="0.25"/>
    <row r="32" spans="1:9" ht="16.5" thickBot="1" x14ac:dyDescent="0.3"/>
    <row r="33" spans="1:9" ht="17.25" thickTop="1" thickBot="1" x14ac:dyDescent="0.3">
      <c r="A33" s="25" t="s">
        <v>40</v>
      </c>
      <c r="B33" s="117" t="s">
        <v>41</v>
      </c>
      <c r="C33" s="117"/>
      <c r="D33" s="117"/>
      <c r="E33" s="117"/>
      <c r="F33" s="117"/>
      <c r="G33" s="117"/>
      <c r="H33" s="117"/>
      <c r="I33" s="25" t="s">
        <v>42</v>
      </c>
    </row>
    <row r="34" spans="1:9" ht="17.25" thickTop="1" thickBot="1" x14ac:dyDescent="0.3">
      <c r="A34" s="26" t="s">
        <v>43</v>
      </c>
      <c r="B34" s="107" t="s">
        <v>44</v>
      </c>
      <c r="C34" s="107"/>
      <c r="D34" s="107"/>
      <c r="E34" s="107"/>
      <c r="F34" s="107"/>
      <c r="G34" s="107"/>
      <c r="H34" s="107"/>
      <c r="I34" s="26" t="s">
        <v>52</v>
      </c>
    </row>
    <row r="35" spans="1:9" ht="21.95" customHeight="1" thickTop="1" thickBot="1" x14ac:dyDescent="0.3">
      <c r="A35" s="26"/>
      <c r="B35" s="118"/>
      <c r="C35" s="118"/>
      <c r="D35" s="118"/>
      <c r="E35" s="118"/>
      <c r="F35" s="118"/>
      <c r="G35" s="118"/>
      <c r="H35" s="118"/>
      <c r="I35" s="26"/>
    </row>
    <row r="36" spans="1:9" ht="23.1" customHeight="1" thickTop="1" thickBot="1" x14ac:dyDescent="0.3">
      <c r="A36" s="26"/>
      <c r="B36" s="118"/>
      <c r="C36" s="118"/>
      <c r="D36" s="118"/>
      <c r="E36" s="118"/>
      <c r="F36" s="118"/>
      <c r="G36" s="118"/>
      <c r="H36" s="118"/>
      <c r="I36" s="26"/>
    </row>
    <row r="37" spans="1:9" ht="17.25" thickTop="1" thickBot="1" x14ac:dyDescent="0.3">
      <c r="A37" s="26"/>
      <c r="B37" s="118"/>
      <c r="C37" s="118"/>
      <c r="D37" s="118"/>
      <c r="E37" s="118"/>
      <c r="F37" s="118"/>
      <c r="G37" s="118"/>
      <c r="H37" s="118"/>
      <c r="I37" s="26"/>
    </row>
    <row r="38" spans="1:9" ht="17.25" thickTop="1" thickBot="1" x14ac:dyDescent="0.3">
      <c r="A38" s="26"/>
      <c r="B38" s="107"/>
      <c r="C38" s="107"/>
      <c r="D38" s="107"/>
      <c r="E38" s="107"/>
      <c r="F38" s="107"/>
      <c r="G38" s="107"/>
      <c r="H38" s="107"/>
      <c r="I38" s="26"/>
    </row>
    <row r="39" spans="1:9" ht="17.25" thickTop="1" thickBot="1" x14ac:dyDescent="0.3">
      <c r="A39" s="26"/>
      <c r="B39" s="107"/>
      <c r="C39" s="107"/>
      <c r="D39" s="107"/>
      <c r="E39" s="107"/>
      <c r="F39" s="107"/>
      <c r="G39" s="107"/>
      <c r="H39" s="107"/>
      <c r="I39" s="26"/>
    </row>
    <row r="40" spans="1:9" ht="16.5" thickTop="1" x14ac:dyDescent="0.25"/>
  </sheetData>
  <mergeCells count="29">
    <mergeCell ref="B39:H39"/>
    <mergeCell ref="A27:I30"/>
    <mergeCell ref="B33:H33"/>
    <mergeCell ref="A26:B26"/>
    <mergeCell ref="C26:I26"/>
    <mergeCell ref="B34:H34"/>
    <mergeCell ref="B35:H35"/>
    <mergeCell ref="B36:H36"/>
    <mergeCell ref="B37:H37"/>
    <mergeCell ref="B38:H38"/>
    <mergeCell ref="A23:B23"/>
    <mergeCell ref="C23:I23"/>
    <mergeCell ref="A24:B24"/>
    <mergeCell ref="C24:I24"/>
    <mergeCell ref="A25:B25"/>
    <mergeCell ref="C25:I25"/>
    <mergeCell ref="A22:B22"/>
    <mergeCell ref="C22:I22"/>
    <mergeCell ref="B5:H5"/>
    <mergeCell ref="C6:G6"/>
    <mergeCell ref="C7:G7"/>
    <mergeCell ref="C8:G8"/>
    <mergeCell ref="B11:H11"/>
    <mergeCell ref="A12:I12"/>
    <mergeCell ref="B14:H14"/>
    <mergeCell ref="B16:H16"/>
    <mergeCell ref="B19:H19"/>
    <mergeCell ref="A21:B21"/>
    <mergeCell ref="C21:I2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06F72-4749-F94F-B7F1-6FA1CC39BF5F}">
  <sheetPr>
    <pageSetUpPr fitToPage="1"/>
  </sheetPr>
  <dimension ref="A1:R58"/>
  <sheetViews>
    <sheetView zoomScale="125" zoomScaleNormal="125" workbookViewId="0">
      <pane ySplit="1" topLeftCell="A34" activePane="bottomLeft" state="frozen"/>
      <selection pane="bottomLeft" activeCell="G57" sqref="G57"/>
    </sheetView>
  </sheetViews>
  <sheetFormatPr defaultColWidth="11" defaultRowHeight="15.75" x14ac:dyDescent="0.25"/>
  <cols>
    <col min="1" max="1" width="24.625" style="9" customWidth="1"/>
    <col min="2" max="2" width="10.625" style="1" customWidth="1"/>
    <col min="5" max="5" width="9" customWidth="1"/>
    <col min="6" max="6" width="8.125" customWidth="1"/>
    <col min="7" max="7" width="13.5" customWidth="1"/>
    <col min="8" max="8" width="13.625" customWidth="1"/>
    <col min="9" max="9" width="17" customWidth="1"/>
    <col min="10" max="11" width="11" customWidth="1"/>
    <col min="12" max="12" width="13" customWidth="1"/>
    <col min="13" max="14" width="14.625" customWidth="1"/>
    <col min="15" max="15" width="14.125" style="1" bestFit="1" customWidth="1"/>
    <col min="16" max="16" width="68.5" bestFit="1" customWidth="1"/>
    <col min="17" max="17" width="12.375" customWidth="1"/>
    <col min="18" max="18" width="13.125" customWidth="1"/>
  </cols>
  <sheetData>
    <row r="1" spans="1:18" s="9" customFormat="1" ht="32.25" thickBot="1" x14ac:dyDescent="0.3">
      <c r="A1" s="13" t="s">
        <v>26</v>
      </c>
      <c r="B1" s="14" t="s">
        <v>20</v>
      </c>
      <c r="C1" s="13" t="s">
        <v>0</v>
      </c>
      <c r="D1" s="13" t="s">
        <v>24</v>
      </c>
      <c r="E1" s="13" t="s">
        <v>5</v>
      </c>
      <c r="F1" s="13" t="s">
        <v>6</v>
      </c>
      <c r="G1" s="13" t="s">
        <v>7</v>
      </c>
      <c r="H1" s="13" t="s">
        <v>8</v>
      </c>
      <c r="I1" s="13" t="s">
        <v>9</v>
      </c>
      <c r="J1" s="13" t="s">
        <v>1</v>
      </c>
      <c r="K1" s="13" t="s">
        <v>66</v>
      </c>
      <c r="L1" s="13" t="s">
        <v>2</v>
      </c>
      <c r="M1" s="13" t="s">
        <v>3</v>
      </c>
      <c r="N1" s="13" t="s">
        <v>27</v>
      </c>
      <c r="O1" s="14" t="s">
        <v>22</v>
      </c>
      <c r="P1" s="13" t="s">
        <v>16</v>
      </c>
    </row>
    <row r="2" spans="1:18" s="9" customFormat="1" ht="32.25" thickTop="1" x14ac:dyDescent="0.25">
      <c r="A2" s="15" t="s">
        <v>59</v>
      </c>
      <c r="B2" s="16"/>
      <c r="C2" s="15"/>
      <c r="D2" s="15"/>
      <c r="E2" s="15"/>
      <c r="F2" s="15"/>
      <c r="G2" s="15"/>
      <c r="H2" s="15"/>
      <c r="I2" s="15"/>
      <c r="J2" s="15"/>
      <c r="K2" s="15"/>
      <c r="L2" s="15"/>
      <c r="M2" s="15"/>
      <c r="N2" s="15"/>
      <c r="O2" s="16"/>
      <c r="P2" s="15"/>
    </row>
    <row r="3" spans="1:18" s="9" customFormat="1" x14ac:dyDescent="0.25">
      <c r="A3" s="48" t="s">
        <v>3</v>
      </c>
      <c r="B3" s="33">
        <v>1</v>
      </c>
      <c r="C3" s="33">
        <v>1</v>
      </c>
      <c r="D3" s="33">
        <v>60</v>
      </c>
      <c r="E3" s="34" t="s">
        <v>10</v>
      </c>
      <c r="F3" s="33">
        <v>0</v>
      </c>
      <c r="G3" s="33">
        <v>5</v>
      </c>
      <c r="H3" s="33">
        <v>1</v>
      </c>
      <c r="I3" s="38" t="s">
        <v>54</v>
      </c>
      <c r="J3" s="33">
        <v>2868</v>
      </c>
      <c r="K3" s="57">
        <f>410*J3/400</f>
        <v>2939.7</v>
      </c>
      <c r="L3" s="33">
        <v>2500</v>
      </c>
      <c r="M3" s="36">
        <v>1700</v>
      </c>
      <c r="N3" s="37" t="s">
        <v>28</v>
      </c>
      <c r="O3" s="33">
        <v>1</v>
      </c>
      <c r="P3" s="48" t="s">
        <v>63</v>
      </c>
    </row>
    <row r="4" spans="1:18" x14ac:dyDescent="0.25">
      <c r="A4" s="49"/>
      <c r="B4" s="1">
        <v>1</v>
      </c>
      <c r="C4" s="46">
        <v>2</v>
      </c>
      <c r="D4" s="1">
        <v>60</v>
      </c>
      <c r="E4" t="s">
        <v>10</v>
      </c>
      <c r="F4" s="1">
        <v>0</v>
      </c>
      <c r="G4" s="1">
        <v>5</v>
      </c>
      <c r="H4" s="1">
        <v>1</v>
      </c>
      <c r="I4" s="6" t="s">
        <v>54</v>
      </c>
      <c r="J4" s="1">
        <v>2868</v>
      </c>
      <c r="K4" s="57">
        <f t="shared" ref="K4:K37" si="0">410*J4/400</f>
        <v>2939.7</v>
      </c>
      <c r="L4" s="1">
        <v>2500</v>
      </c>
      <c r="M4" s="3">
        <v>1800</v>
      </c>
      <c r="N4" s="5" t="s">
        <v>28</v>
      </c>
    </row>
    <row r="5" spans="1:18" x14ac:dyDescent="0.25">
      <c r="A5" s="49"/>
      <c r="B5" s="1">
        <v>1</v>
      </c>
      <c r="C5" s="46">
        <v>3</v>
      </c>
      <c r="D5" s="1">
        <v>60</v>
      </c>
      <c r="E5" t="s">
        <v>10</v>
      </c>
      <c r="F5" s="1">
        <v>0</v>
      </c>
      <c r="G5" s="27">
        <v>5</v>
      </c>
      <c r="H5" s="1">
        <v>1</v>
      </c>
      <c r="I5" s="6" t="s">
        <v>54</v>
      </c>
      <c r="J5" s="1">
        <v>2868</v>
      </c>
      <c r="K5" s="57">
        <f t="shared" si="0"/>
        <v>2939.7</v>
      </c>
      <c r="L5" s="1">
        <v>2500</v>
      </c>
      <c r="M5" s="3">
        <v>1900</v>
      </c>
      <c r="N5" s="5" t="s">
        <v>28</v>
      </c>
    </row>
    <row r="6" spans="1:18" ht="16.5" thickBot="1" x14ac:dyDescent="0.3">
      <c r="A6" s="49"/>
      <c r="B6" s="1">
        <v>1</v>
      </c>
      <c r="C6" s="46">
        <v>4</v>
      </c>
      <c r="D6" s="1">
        <v>60</v>
      </c>
      <c r="E6" t="s">
        <v>10</v>
      </c>
      <c r="F6" s="1">
        <v>0</v>
      </c>
      <c r="G6" s="27">
        <v>5</v>
      </c>
      <c r="H6" s="1">
        <v>1</v>
      </c>
      <c r="I6" s="6" t="s">
        <v>54</v>
      </c>
      <c r="J6" s="1">
        <v>2868</v>
      </c>
      <c r="K6" s="57">
        <f t="shared" si="0"/>
        <v>2939.7</v>
      </c>
      <c r="L6" s="1">
        <v>2500</v>
      </c>
      <c r="M6" s="3">
        <v>2000</v>
      </c>
      <c r="N6" s="5" t="s">
        <v>28</v>
      </c>
      <c r="Q6" s="55" t="s">
        <v>65</v>
      </c>
      <c r="R6" s="55" t="s">
        <v>66</v>
      </c>
    </row>
    <row r="7" spans="1:18" ht="16.5" thickTop="1" x14ac:dyDescent="0.25">
      <c r="A7" s="49"/>
      <c r="B7" s="1">
        <v>1</v>
      </c>
      <c r="C7" s="46">
        <v>5</v>
      </c>
      <c r="D7" s="1">
        <v>60</v>
      </c>
      <c r="E7" t="s">
        <v>10</v>
      </c>
      <c r="F7" s="1">
        <v>0</v>
      </c>
      <c r="G7" s="27">
        <v>5</v>
      </c>
      <c r="H7" s="1">
        <v>1</v>
      </c>
      <c r="I7" s="6" t="s">
        <v>54</v>
      </c>
      <c r="J7" s="1">
        <v>2868</v>
      </c>
      <c r="K7" s="57">
        <f t="shared" si="0"/>
        <v>2939.7</v>
      </c>
      <c r="L7" s="1">
        <v>2500</v>
      </c>
      <c r="M7" s="3">
        <v>2100</v>
      </c>
      <c r="N7" s="5" t="s">
        <v>28</v>
      </c>
      <c r="Q7" s="53">
        <v>2868</v>
      </c>
      <c r="R7" s="54">
        <f>Q7*410/400</f>
        <v>2939.7</v>
      </c>
    </row>
    <row r="8" spans="1:18" x14ac:dyDescent="0.25">
      <c r="A8" s="48" t="s">
        <v>15</v>
      </c>
      <c r="B8" s="33">
        <v>1</v>
      </c>
      <c r="C8" s="33">
        <v>6</v>
      </c>
      <c r="D8" s="33">
        <v>60</v>
      </c>
      <c r="E8" s="34" t="s">
        <v>10</v>
      </c>
      <c r="F8" s="33">
        <v>0</v>
      </c>
      <c r="G8" s="33">
        <v>5</v>
      </c>
      <c r="H8" s="33">
        <v>1</v>
      </c>
      <c r="I8" s="35" t="s">
        <v>54</v>
      </c>
      <c r="J8" s="36">
        <f>2868+50</f>
        <v>2918</v>
      </c>
      <c r="K8" s="58">
        <f t="shared" si="0"/>
        <v>2990.95</v>
      </c>
      <c r="L8" s="33">
        <v>2500</v>
      </c>
      <c r="M8" s="33">
        <v>1800</v>
      </c>
      <c r="N8" s="37" t="s">
        <v>28</v>
      </c>
      <c r="O8" s="33">
        <v>1</v>
      </c>
      <c r="P8" s="34"/>
      <c r="Q8" s="52">
        <f>2868+50</f>
        <v>2918</v>
      </c>
      <c r="R8" s="51">
        <f t="shared" ref="R8:R13" si="1">Q8*410/400</f>
        <v>2990.95</v>
      </c>
    </row>
    <row r="9" spans="1:18" x14ac:dyDescent="0.25">
      <c r="A9" s="49"/>
      <c r="B9" s="1">
        <v>1</v>
      </c>
      <c r="C9" s="46">
        <v>7</v>
      </c>
      <c r="D9" s="1">
        <v>60</v>
      </c>
      <c r="E9" t="s">
        <v>10</v>
      </c>
      <c r="F9" s="1">
        <v>0</v>
      </c>
      <c r="G9" s="27">
        <v>5</v>
      </c>
      <c r="H9" s="1">
        <v>1</v>
      </c>
      <c r="I9" s="2" t="s">
        <v>54</v>
      </c>
      <c r="J9" s="3">
        <f>J8+50</f>
        <v>2968</v>
      </c>
      <c r="K9" s="58">
        <f t="shared" si="0"/>
        <v>3042.2</v>
      </c>
      <c r="L9" s="1">
        <v>2500</v>
      </c>
      <c r="M9" s="46">
        <v>1800</v>
      </c>
      <c r="N9" s="5" t="s">
        <v>28</v>
      </c>
      <c r="Q9" s="52">
        <f>2818</f>
        <v>2818</v>
      </c>
      <c r="R9" s="51">
        <f t="shared" si="1"/>
        <v>2888.45</v>
      </c>
    </row>
    <row r="10" spans="1:18" x14ac:dyDescent="0.25">
      <c r="A10" s="49"/>
      <c r="B10" s="1">
        <v>1</v>
      </c>
      <c r="C10" s="46">
        <v>8</v>
      </c>
      <c r="D10" s="1">
        <v>60</v>
      </c>
      <c r="E10" t="s">
        <v>10</v>
      </c>
      <c r="F10" s="1">
        <v>0</v>
      </c>
      <c r="G10" s="27">
        <v>5</v>
      </c>
      <c r="H10" s="1">
        <v>1</v>
      </c>
      <c r="I10" s="2" t="s">
        <v>54</v>
      </c>
      <c r="J10" s="3">
        <f>J9-50</f>
        <v>2918</v>
      </c>
      <c r="K10" s="58">
        <f t="shared" si="0"/>
        <v>2990.95</v>
      </c>
      <c r="L10" s="1">
        <v>2500</v>
      </c>
      <c r="M10" s="46">
        <v>1800</v>
      </c>
      <c r="N10" s="5" t="s">
        <v>28</v>
      </c>
      <c r="Q10" s="52">
        <f>Q9-50</f>
        <v>2768</v>
      </c>
      <c r="R10" s="51">
        <f t="shared" si="1"/>
        <v>2837.2</v>
      </c>
    </row>
    <row r="11" spans="1:18" x14ac:dyDescent="0.25">
      <c r="A11" s="49"/>
      <c r="B11" s="1">
        <v>1</v>
      </c>
      <c r="C11" s="46">
        <v>9</v>
      </c>
      <c r="D11" s="1">
        <v>60</v>
      </c>
      <c r="E11" t="s">
        <v>10</v>
      </c>
      <c r="F11" s="1">
        <v>0</v>
      </c>
      <c r="G11" s="27">
        <v>5</v>
      </c>
      <c r="H11" s="1">
        <v>1</v>
      </c>
      <c r="I11" s="2" t="s">
        <v>54</v>
      </c>
      <c r="J11" s="3">
        <f>J10-50</f>
        <v>2868</v>
      </c>
      <c r="K11" s="58">
        <f t="shared" si="0"/>
        <v>2939.7</v>
      </c>
      <c r="L11" s="1">
        <v>2500</v>
      </c>
      <c r="M11" s="46">
        <v>1800</v>
      </c>
      <c r="N11" s="5" t="s">
        <v>28</v>
      </c>
      <c r="Q11" s="52">
        <f>Q10-50</f>
        <v>2718</v>
      </c>
      <c r="R11" s="51">
        <f t="shared" si="1"/>
        <v>2785.95</v>
      </c>
    </row>
    <row r="12" spans="1:18" x14ac:dyDescent="0.25">
      <c r="A12" s="49"/>
      <c r="B12" s="1">
        <v>1</v>
      </c>
      <c r="C12" s="46">
        <v>10</v>
      </c>
      <c r="D12" s="1">
        <v>60</v>
      </c>
      <c r="E12" t="s">
        <v>10</v>
      </c>
      <c r="F12" s="1">
        <v>0</v>
      </c>
      <c r="G12" s="27">
        <v>5</v>
      </c>
      <c r="H12" s="1">
        <v>1</v>
      </c>
      <c r="I12" s="2" t="s">
        <v>54</v>
      </c>
      <c r="J12" s="3">
        <f>J11-50</f>
        <v>2818</v>
      </c>
      <c r="K12" s="58">
        <f t="shared" si="0"/>
        <v>2888.45</v>
      </c>
      <c r="L12" s="1">
        <v>2500</v>
      </c>
      <c r="M12" s="46">
        <v>1800</v>
      </c>
      <c r="N12" s="5" t="s">
        <v>28</v>
      </c>
      <c r="Q12" s="52">
        <f>Q11-50</f>
        <v>2668</v>
      </c>
      <c r="R12" s="51">
        <f t="shared" si="1"/>
        <v>2734.7</v>
      </c>
    </row>
    <row r="13" spans="1:18" x14ac:dyDescent="0.25">
      <c r="A13" s="49"/>
      <c r="B13" s="1">
        <v>1</v>
      </c>
      <c r="C13" s="46">
        <v>11</v>
      </c>
      <c r="D13" s="1">
        <v>60</v>
      </c>
      <c r="E13" t="s">
        <v>10</v>
      </c>
      <c r="F13" s="1">
        <v>0</v>
      </c>
      <c r="G13" s="27">
        <v>5</v>
      </c>
      <c r="H13" s="1">
        <v>1</v>
      </c>
      <c r="I13" s="2" t="s">
        <v>54</v>
      </c>
      <c r="J13" s="3">
        <f>J12-50</f>
        <v>2768</v>
      </c>
      <c r="K13" s="58">
        <f t="shared" si="0"/>
        <v>2837.2</v>
      </c>
      <c r="L13" s="1">
        <v>2500</v>
      </c>
      <c r="M13" s="28">
        <v>1800</v>
      </c>
      <c r="N13" s="5" t="s">
        <v>28</v>
      </c>
      <c r="Q13" s="52">
        <f>Q12-50</f>
        <v>2618</v>
      </c>
      <c r="R13" s="51">
        <f t="shared" si="1"/>
        <v>2683.45</v>
      </c>
    </row>
    <row r="14" spans="1:18" x14ac:dyDescent="0.25">
      <c r="A14" s="48" t="s">
        <v>18</v>
      </c>
      <c r="B14" s="33">
        <v>1</v>
      </c>
      <c r="C14" s="33">
        <v>12</v>
      </c>
      <c r="D14" s="33">
        <v>60</v>
      </c>
      <c r="E14" s="34" t="s">
        <v>10</v>
      </c>
      <c r="F14" s="33">
        <v>0</v>
      </c>
      <c r="G14" s="33">
        <v>5</v>
      </c>
      <c r="H14" s="33">
        <v>1</v>
      </c>
      <c r="I14" s="39" t="s">
        <v>55</v>
      </c>
      <c r="J14" s="33">
        <v>2868</v>
      </c>
      <c r="K14" s="57">
        <f t="shared" si="0"/>
        <v>2939.7</v>
      </c>
      <c r="L14" s="33">
        <v>2500</v>
      </c>
      <c r="M14" s="33">
        <v>1800</v>
      </c>
      <c r="N14" s="37" t="s">
        <v>28</v>
      </c>
      <c r="O14" s="33">
        <v>1</v>
      </c>
      <c r="P14" s="34"/>
    </row>
    <row r="15" spans="1:18" x14ac:dyDescent="0.25">
      <c r="A15" s="49"/>
      <c r="B15" s="1">
        <v>1</v>
      </c>
      <c r="C15" s="46">
        <v>13</v>
      </c>
      <c r="D15" s="1">
        <v>60</v>
      </c>
      <c r="E15" t="s">
        <v>10</v>
      </c>
      <c r="F15" s="1">
        <v>0</v>
      </c>
      <c r="G15" s="27">
        <v>5</v>
      </c>
      <c r="H15" s="1">
        <v>1</v>
      </c>
      <c r="I15" s="4" t="s">
        <v>12</v>
      </c>
      <c r="J15" s="1">
        <v>2868</v>
      </c>
      <c r="K15" s="57">
        <f t="shared" si="0"/>
        <v>2939.7</v>
      </c>
      <c r="L15" s="1">
        <v>2500</v>
      </c>
      <c r="M15" s="46">
        <v>1800</v>
      </c>
      <c r="N15" s="5" t="s">
        <v>28</v>
      </c>
    </row>
    <row r="16" spans="1:18" x14ac:dyDescent="0.25">
      <c r="A16" s="49"/>
      <c r="B16" s="1">
        <v>1</v>
      </c>
      <c r="C16" s="46">
        <v>14</v>
      </c>
      <c r="D16" s="1">
        <v>60</v>
      </c>
      <c r="E16" t="s">
        <v>10</v>
      </c>
      <c r="F16" s="1">
        <v>0</v>
      </c>
      <c r="G16" s="27">
        <v>5</v>
      </c>
      <c r="H16" s="1">
        <v>1</v>
      </c>
      <c r="I16" s="4" t="s">
        <v>13</v>
      </c>
      <c r="J16" s="1">
        <v>2868</v>
      </c>
      <c r="K16" s="57">
        <f t="shared" si="0"/>
        <v>2939.7</v>
      </c>
      <c r="L16" s="1">
        <v>2500</v>
      </c>
      <c r="M16" s="46">
        <v>1800</v>
      </c>
      <c r="N16" s="5" t="s">
        <v>28</v>
      </c>
    </row>
    <row r="17" spans="1:16" x14ac:dyDescent="0.25">
      <c r="A17" s="49"/>
      <c r="B17" s="1">
        <v>1</v>
      </c>
      <c r="C17" s="46">
        <v>15</v>
      </c>
      <c r="D17" s="1">
        <v>60</v>
      </c>
      <c r="E17" t="s">
        <v>10</v>
      </c>
      <c r="F17" s="1">
        <v>0</v>
      </c>
      <c r="G17" s="27">
        <v>5</v>
      </c>
      <c r="H17" s="1">
        <v>1</v>
      </c>
      <c r="I17" s="4" t="s">
        <v>14</v>
      </c>
      <c r="J17" s="1">
        <v>2868</v>
      </c>
      <c r="K17" s="57">
        <f t="shared" si="0"/>
        <v>2939.7</v>
      </c>
      <c r="L17" s="1">
        <v>2500</v>
      </c>
      <c r="M17" s="46">
        <v>1800</v>
      </c>
      <c r="N17" s="5" t="s">
        <v>28</v>
      </c>
    </row>
    <row r="18" spans="1:16" x14ac:dyDescent="0.25">
      <c r="A18" s="49"/>
      <c r="B18" s="27">
        <v>1</v>
      </c>
      <c r="C18" s="46">
        <v>16</v>
      </c>
      <c r="D18" s="27">
        <v>60</v>
      </c>
      <c r="E18" t="s">
        <v>10</v>
      </c>
      <c r="F18" s="27">
        <v>0</v>
      </c>
      <c r="G18" s="27">
        <v>5</v>
      </c>
      <c r="H18" s="27">
        <v>1</v>
      </c>
      <c r="I18" s="4" t="s">
        <v>11</v>
      </c>
      <c r="J18" s="27">
        <v>2868</v>
      </c>
      <c r="K18" s="57">
        <f t="shared" si="0"/>
        <v>2939.7</v>
      </c>
      <c r="L18" s="27">
        <v>2500</v>
      </c>
      <c r="M18" s="46">
        <v>1800</v>
      </c>
      <c r="N18" s="5" t="s">
        <v>28</v>
      </c>
      <c r="O18" s="27"/>
    </row>
    <row r="19" spans="1:16" x14ac:dyDescent="0.25">
      <c r="A19" s="49"/>
      <c r="B19" s="1">
        <v>1</v>
      </c>
      <c r="C19" s="46">
        <v>17</v>
      </c>
      <c r="D19" s="1">
        <v>60</v>
      </c>
      <c r="E19" t="s">
        <v>10</v>
      </c>
      <c r="F19" s="1">
        <v>0</v>
      </c>
      <c r="G19" s="27">
        <v>5</v>
      </c>
      <c r="H19" s="1">
        <v>1</v>
      </c>
      <c r="I19" s="4" t="s">
        <v>56</v>
      </c>
      <c r="J19" s="1">
        <v>2868</v>
      </c>
      <c r="K19" s="57">
        <f t="shared" si="0"/>
        <v>2939.7</v>
      </c>
      <c r="L19" s="1">
        <v>2500</v>
      </c>
      <c r="M19" s="28">
        <v>1800</v>
      </c>
      <c r="N19" s="5" t="s">
        <v>28</v>
      </c>
      <c r="P19" t="s">
        <v>61</v>
      </c>
    </row>
    <row r="20" spans="1:16" x14ac:dyDescent="0.25">
      <c r="A20" s="48" t="s">
        <v>4</v>
      </c>
      <c r="B20" s="33">
        <v>1</v>
      </c>
      <c r="C20" s="33">
        <v>18</v>
      </c>
      <c r="D20" s="33">
        <v>60</v>
      </c>
      <c r="E20" s="34" t="s">
        <v>10</v>
      </c>
      <c r="F20" s="33">
        <v>0</v>
      </c>
      <c r="G20" s="36">
        <v>1</v>
      </c>
      <c r="H20" s="33">
        <v>1</v>
      </c>
      <c r="I20" s="35" t="s">
        <v>54</v>
      </c>
      <c r="J20" s="33">
        <v>2868</v>
      </c>
      <c r="K20" s="57">
        <f t="shared" si="0"/>
        <v>2939.7</v>
      </c>
      <c r="L20" s="33">
        <v>2500</v>
      </c>
      <c r="M20" s="33">
        <v>1800</v>
      </c>
      <c r="N20" s="37" t="s">
        <v>28</v>
      </c>
      <c r="O20" s="33">
        <v>1</v>
      </c>
      <c r="P20" s="34"/>
    </row>
    <row r="21" spans="1:16" x14ac:dyDescent="0.25">
      <c r="A21" s="49"/>
      <c r="B21" s="1">
        <v>1</v>
      </c>
      <c r="C21" s="46">
        <v>19</v>
      </c>
      <c r="D21" s="1">
        <v>60</v>
      </c>
      <c r="E21" t="s">
        <v>10</v>
      </c>
      <c r="F21" s="1">
        <v>0</v>
      </c>
      <c r="G21" s="3">
        <v>2</v>
      </c>
      <c r="H21" s="1">
        <v>1</v>
      </c>
      <c r="I21" s="2" t="s">
        <v>54</v>
      </c>
      <c r="J21" s="1">
        <v>2868</v>
      </c>
      <c r="K21" s="57">
        <f t="shared" si="0"/>
        <v>2939.7</v>
      </c>
      <c r="L21" s="1">
        <v>2500</v>
      </c>
      <c r="M21" s="46">
        <v>1800</v>
      </c>
      <c r="N21" s="5" t="s">
        <v>28</v>
      </c>
    </row>
    <row r="22" spans="1:16" x14ac:dyDescent="0.25">
      <c r="A22" s="49"/>
      <c r="B22" s="1">
        <v>1</v>
      </c>
      <c r="C22" s="46">
        <v>20</v>
      </c>
      <c r="D22" s="1">
        <v>60</v>
      </c>
      <c r="E22" t="s">
        <v>10</v>
      </c>
      <c r="F22" s="1">
        <v>0</v>
      </c>
      <c r="G22" s="3">
        <v>3</v>
      </c>
      <c r="H22" s="1">
        <v>1</v>
      </c>
      <c r="I22" s="2" t="s">
        <v>54</v>
      </c>
      <c r="J22" s="1">
        <v>2868</v>
      </c>
      <c r="K22" s="57">
        <f t="shared" si="0"/>
        <v>2939.7</v>
      </c>
      <c r="L22" s="1">
        <v>2500</v>
      </c>
      <c r="M22" s="46">
        <v>1800</v>
      </c>
      <c r="N22" s="5" t="s">
        <v>28</v>
      </c>
    </row>
    <row r="23" spans="1:16" x14ac:dyDescent="0.25">
      <c r="A23" s="49"/>
      <c r="B23" s="1">
        <v>1</v>
      </c>
      <c r="C23" s="46">
        <v>21</v>
      </c>
      <c r="D23" s="1">
        <v>60</v>
      </c>
      <c r="E23" t="s">
        <v>10</v>
      </c>
      <c r="F23" s="1">
        <v>0</v>
      </c>
      <c r="G23" s="3">
        <v>4</v>
      </c>
      <c r="H23" s="1">
        <v>1</v>
      </c>
      <c r="I23" s="2" t="s">
        <v>54</v>
      </c>
      <c r="J23" s="1">
        <v>2868</v>
      </c>
      <c r="K23" s="57">
        <f t="shared" si="0"/>
        <v>2939.7</v>
      </c>
      <c r="L23" s="1">
        <v>2500</v>
      </c>
      <c r="M23" s="46">
        <v>1800</v>
      </c>
      <c r="N23" s="5" t="s">
        <v>28</v>
      </c>
    </row>
    <row r="24" spans="1:16" x14ac:dyDescent="0.25">
      <c r="A24" s="49"/>
      <c r="B24" s="27">
        <v>1</v>
      </c>
      <c r="C24" s="46">
        <v>22</v>
      </c>
      <c r="D24" s="27">
        <v>60</v>
      </c>
      <c r="E24" t="s">
        <v>10</v>
      </c>
      <c r="F24" s="27">
        <v>0</v>
      </c>
      <c r="G24" s="3">
        <v>6</v>
      </c>
      <c r="H24" s="27">
        <v>1</v>
      </c>
      <c r="I24" s="2" t="s">
        <v>54</v>
      </c>
      <c r="J24" s="27">
        <v>2868</v>
      </c>
      <c r="K24" s="57">
        <f t="shared" si="0"/>
        <v>2939.7</v>
      </c>
      <c r="L24" s="27">
        <v>2500</v>
      </c>
      <c r="M24" s="27">
        <v>1800</v>
      </c>
      <c r="N24" s="5" t="s">
        <v>28</v>
      </c>
      <c r="O24" s="27"/>
    </row>
    <row r="25" spans="1:16" s="31" customFormat="1" x14ac:dyDescent="0.25">
      <c r="A25" s="50" t="s">
        <v>23</v>
      </c>
      <c r="B25" s="40">
        <v>1</v>
      </c>
      <c r="C25" s="47">
        <v>23</v>
      </c>
      <c r="D25" s="40">
        <v>60</v>
      </c>
      <c r="E25" s="41" t="s">
        <v>10</v>
      </c>
      <c r="F25" s="40">
        <v>0</v>
      </c>
      <c r="G25" s="40">
        <v>5</v>
      </c>
      <c r="H25" s="40">
        <v>1</v>
      </c>
      <c r="I25" s="42" t="s">
        <v>54</v>
      </c>
      <c r="J25" s="40">
        <v>2868</v>
      </c>
      <c r="K25" s="57">
        <f t="shared" si="0"/>
        <v>2939.7</v>
      </c>
      <c r="L25" s="40">
        <v>2500</v>
      </c>
      <c r="M25" s="40">
        <v>1800</v>
      </c>
      <c r="N25" s="40" t="s">
        <v>28</v>
      </c>
      <c r="O25" s="40"/>
      <c r="P25" s="41" t="s">
        <v>64</v>
      </c>
    </row>
    <row r="26" spans="1:16" ht="31.5" x14ac:dyDescent="0.25">
      <c r="A26" s="48" t="s">
        <v>57</v>
      </c>
      <c r="B26" s="33">
        <v>1</v>
      </c>
      <c r="C26" s="33">
        <v>24</v>
      </c>
      <c r="D26" s="33">
        <v>60</v>
      </c>
      <c r="E26" s="43" t="s">
        <v>17</v>
      </c>
      <c r="F26" s="37">
        <v>0</v>
      </c>
      <c r="G26" s="33">
        <v>5</v>
      </c>
      <c r="H26" s="33">
        <v>1</v>
      </c>
      <c r="I26" s="39" t="s">
        <v>55</v>
      </c>
      <c r="J26" s="33">
        <v>2868</v>
      </c>
      <c r="K26" s="57">
        <f t="shared" si="0"/>
        <v>2939.7</v>
      </c>
      <c r="L26" s="33">
        <v>2500</v>
      </c>
      <c r="M26" s="33">
        <v>1800</v>
      </c>
      <c r="N26" s="37" t="s">
        <v>28</v>
      </c>
      <c r="O26" s="33">
        <v>3</v>
      </c>
      <c r="P26" s="34" t="s">
        <v>21</v>
      </c>
    </row>
    <row r="27" spans="1:16" x14ac:dyDescent="0.25">
      <c r="A27" s="49"/>
      <c r="B27" s="27">
        <v>1</v>
      </c>
      <c r="C27" s="46">
        <v>25</v>
      </c>
      <c r="D27" s="27">
        <v>60</v>
      </c>
      <c r="E27" s="7" t="s">
        <v>17</v>
      </c>
      <c r="F27" s="5">
        <v>0</v>
      </c>
      <c r="G27" s="12">
        <v>5</v>
      </c>
      <c r="H27" s="27">
        <v>1</v>
      </c>
      <c r="I27" s="4" t="s">
        <v>12</v>
      </c>
      <c r="J27" s="27">
        <v>2868</v>
      </c>
      <c r="K27" s="57">
        <f t="shared" si="0"/>
        <v>2939.7</v>
      </c>
      <c r="L27" s="27">
        <v>2500</v>
      </c>
      <c r="M27" s="46">
        <v>1800</v>
      </c>
      <c r="N27" s="5" t="s">
        <v>28</v>
      </c>
      <c r="O27" s="27"/>
    </row>
    <row r="28" spans="1:16" x14ac:dyDescent="0.25">
      <c r="A28" s="49"/>
      <c r="B28" s="27">
        <v>1</v>
      </c>
      <c r="C28" s="46">
        <v>26</v>
      </c>
      <c r="D28" s="27">
        <v>60</v>
      </c>
      <c r="E28" s="7" t="s">
        <v>17</v>
      </c>
      <c r="F28" s="5">
        <v>0</v>
      </c>
      <c r="G28" s="27">
        <v>5</v>
      </c>
      <c r="H28" s="27">
        <v>1</v>
      </c>
      <c r="I28" s="4" t="s">
        <v>13</v>
      </c>
      <c r="J28" s="27">
        <v>2868</v>
      </c>
      <c r="K28" s="57">
        <f t="shared" si="0"/>
        <v>2939.7</v>
      </c>
      <c r="L28" s="27">
        <v>2500</v>
      </c>
      <c r="M28" s="46">
        <v>1800</v>
      </c>
      <c r="N28" s="5" t="s">
        <v>28</v>
      </c>
      <c r="O28" s="27"/>
    </row>
    <row r="29" spans="1:16" x14ac:dyDescent="0.25">
      <c r="A29" s="49"/>
      <c r="B29" s="27">
        <v>1</v>
      </c>
      <c r="C29" s="46">
        <v>27</v>
      </c>
      <c r="D29" s="27">
        <v>60</v>
      </c>
      <c r="E29" s="7" t="s">
        <v>17</v>
      </c>
      <c r="F29" s="5">
        <v>0</v>
      </c>
      <c r="G29" s="12">
        <v>5</v>
      </c>
      <c r="H29" s="27">
        <v>1</v>
      </c>
      <c r="I29" s="4" t="s">
        <v>14</v>
      </c>
      <c r="J29" s="27">
        <v>2868</v>
      </c>
      <c r="K29" s="57">
        <f t="shared" si="0"/>
        <v>2939.7</v>
      </c>
      <c r="L29" s="27">
        <v>2500</v>
      </c>
      <c r="M29" s="46">
        <v>1800</v>
      </c>
      <c r="N29" s="5" t="s">
        <v>28</v>
      </c>
      <c r="O29" s="27" t="s">
        <v>67</v>
      </c>
    </row>
    <row r="30" spans="1:16" x14ac:dyDescent="0.25">
      <c r="A30" s="49"/>
      <c r="B30" s="27">
        <v>1</v>
      </c>
      <c r="C30" s="46">
        <v>28</v>
      </c>
      <c r="D30" s="27">
        <v>60</v>
      </c>
      <c r="E30" s="7" t="s">
        <v>17</v>
      </c>
      <c r="F30" s="5">
        <v>0</v>
      </c>
      <c r="G30" s="27">
        <v>5</v>
      </c>
      <c r="H30" s="27">
        <v>1</v>
      </c>
      <c r="I30" s="4" t="s">
        <v>11</v>
      </c>
      <c r="J30" s="27">
        <v>2868</v>
      </c>
      <c r="K30" s="57">
        <f t="shared" si="0"/>
        <v>2939.7</v>
      </c>
      <c r="L30" s="27">
        <v>2500</v>
      </c>
      <c r="M30" s="46">
        <v>1800</v>
      </c>
      <c r="N30" s="5" t="s">
        <v>28</v>
      </c>
      <c r="O30" s="27"/>
    </row>
    <row r="31" spans="1:16" x14ac:dyDescent="0.25">
      <c r="A31" s="49"/>
      <c r="B31" s="27">
        <v>1</v>
      </c>
      <c r="C31" s="46">
        <v>29</v>
      </c>
      <c r="D31" s="27">
        <v>60</v>
      </c>
      <c r="E31" s="7" t="s">
        <v>17</v>
      </c>
      <c r="F31" s="5">
        <v>0</v>
      </c>
      <c r="G31" s="12">
        <v>5</v>
      </c>
      <c r="H31" s="27">
        <v>1</v>
      </c>
      <c r="I31" s="4" t="s">
        <v>56</v>
      </c>
      <c r="J31" s="27">
        <v>2868</v>
      </c>
      <c r="K31" s="57">
        <f t="shared" si="0"/>
        <v>2939.7</v>
      </c>
      <c r="L31" s="27">
        <v>2500</v>
      </c>
      <c r="M31" s="28">
        <v>1800</v>
      </c>
      <c r="N31" s="5" t="s">
        <v>28</v>
      </c>
      <c r="O31" s="27"/>
      <c r="P31" t="s">
        <v>61</v>
      </c>
    </row>
    <row r="32" spans="1:16" ht="31.5" x14ac:dyDescent="0.25">
      <c r="A32" s="48" t="s">
        <v>58</v>
      </c>
      <c r="B32" s="33">
        <v>1</v>
      </c>
      <c r="C32" s="33">
        <v>30</v>
      </c>
      <c r="D32" s="33">
        <v>60</v>
      </c>
      <c r="E32" s="43" t="s">
        <v>17</v>
      </c>
      <c r="F32" s="33">
        <v>0</v>
      </c>
      <c r="G32" s="33">
        <v>5</v>
      </c>
      <c r="H32" s="33">
        <v>1</v>
      </c>
      <c r="I32" s="39" t="s">
        <v>55</v>
      </c>
      <c r="J32" s="33">
        <v>2868</v>
      </c>
      <c r="K32" s="57">
        <f t="shared" si="0"/>
        <v>2939.7</v>
      </c>
      <c r="L32" s="33">
        <v>2500</v>
      </c>
      <c r="M32" s="33">
        <v>1800</v>
      </c>
      <c r="N32" s="36" t="s">
        <v>29</v>
      </c>
      <c r="O32" s="33">
        <v>2</v>
      </c>
      <c r="P32" s="32" t="s">
        <v>62</v>
      </c>
    </row>
    <row r="33" spans="1:16" x14ac:dyDescent="0.25">
      <c r="A33" s="49"/>
      <c r="B33" s="28">
        <v>1</v>
      </c>
      <c r="C33" s="46">
        <v>31</v>
      </c>
      <c r="D33" s="28">
        <v>60</v>
      </c>
      <c r="E33" s="7" t="s">
        <v>17</v>
      </c>
      <c r="F33" s="28">
        <v>0</v>
      </c>
      <c r="G33" s="28">
        <v>5</v>
      </c>
      <c r="H33" s="28">
        <v>1</v>
      </c>
      <c r="I33" s="4" t="s">
        <v>12</v>
      </c>
      <c r="J33" s="28">
        <v>2868</v>
      </c>
      <c r="K33" s="57">
        <f t="shared" si="0"/>
        <v>2939.7</v>
      </c>
      <c r="L33" s="28">
        <v>2500</v>
      </c>
      <c r="M33" s="46">
        <v>1800</v>
      </c>
      <c r="N33" s="3" t="s">
        <v>29</v>
      </c>
      <c r="O33" s="28"/>
    </row>
    <row r="34" spans="1:16" x14ac:dyDescent="0.25">
      <c r="A34" s="29"/>
      <c r="B34" s="28">
        <v>1</v>
      </c>
      <c r="C34" s="46">
        <v>32</v>
      </c>
      <c r="D34" s="28">
        <v>60</v>
      </c>
      <c r="E34" s="7" t="s">
        <v>17</v>
      </c>
      <c r="F34" s="28">
        <v>0</v>
      </c>
      <c r="G34" s="28">
        <v>5</v>
      </c>
      <c r="H34" s="28">
        <v>1</v>
      </c>
      <c r="I34" s="4" t="s">
        <v>13</v>
      </c>
      <c r="J34" s="28">
        <v>2868</v>
      </c>
      <c r="K34" s="57">
        <f t="shared" si="0"/>
        <v>2939.7</v>
      </c>
      <c r="L34" s="28">
        <v>2500</v>
      </c>
      <c r="M34" s="46">
        <v>1800</v>
      </c>
      <c r="N34" s="3" t="s">
        <v>29</v>
      </c>
      <c r="O34" s="28"/>
    </row>
    <row r="35" spans="1:16" x14ac:dyDescent="0.25">
      <c r="A35" s="29"/>
      <c r="B35" s="28">
        <v>1</v>
      </c>
      <c r="C35" s="46">
        <v>33</v>
      </c>
      <c r="D35" s="28">
        <v>60</v>
      </c>
      <c r="E35" s="7" t="s">
        <v>17</v>
      </c>
      <c r="F35" s="28">
        <v>0</v>
      </c>
      <c r="G35" s="28">
        <v>5</v>
      </c>
      <c r="H35" s="28">
        <v>1</v>
      </c>
      <c r="I35" s="4" t="s">
        <v>14</v>
      </c>
      <c r="J35" s="28">
        <v>2868</v>
      </c>
      <c r="K35" s="57">
        <f t="shared" si="0"/>
        <v>2939.7</v>
      </c>
      <c r="L35" s="28">
        <v>2500</v>
      </c>
      <c r="M35" s="46">
        <v>1800</v>
      </c>
      <c r="N35" s="3" t="s">
        <v>29</v>
      </c>
      <c r="O35" s="28"/>
    </row>
    <row r="36" spans="1:16" x14ac:dyDescent="0.25">
      <c r="A36" s="29"/>
      <c r="B36" s="28">
        <v>1</v>
      </c>
      <c r="C36" s="46">
        <v>34</v>
      </c>
      <c r="D36" s="28">
        <v>60</v>
      </c>
      <c r="E36" s="7" t="s">
        <v>17</v>
      </c>
      <c r="F36" s="28">
        <v>0</v>
      </c>
      <c r="G36" s="28">
        <v>5</v>
      </c>
      <c r="H36" s="28">
        <v>1</v>
      </c>
      <c r="I36" s="4" t="s">
        <v>11</v>
      </c>
      <c r="J36" s="28">
        <v>2868</v>
      </c>
      <c r="K36" s="57">
        <f t="shared" si="0"/>
        <v>2939.7</v>
      </c>
      <c r="L36" s="28">
        <v>2500</v>
      </c>
      <c r="M36" s="46">
        <v>1800</v>
      </c>
      <c r="N36" s="3" t="s">
        <v>29</v>
      </c>
      <c r="O36" s="28"/>
    </row>
    <row r="37" spans="1:16" x14ac:dyDescent="0.25">
      <c r="A37" s="29"/>
      <c r="B37" s="28">
        <v>1</v>
      </c>
      <c r="C37" s="46">
        <v>35</v>
      </c>
      <c r="D37" s="28">
        <v>60</v>
      </c>
      <c r="E37" s="7" t="s">
        <v>17</v>
      </c>
      <c r="F37" s="28">
        <v>0</v>
      </c>
      <c r="G37" s="28">
        <v>5</v>
      </c>
      <c r="H37" s="28">
        <v>1</v>
      </c>
      <c r="I37" s="4" t="s">
        <v>56</v>
      </c>
      <c r="J37" s="28">
        <v>2868</v>
      </c>
      <c r="K37" s="57">
        <f t="shared" si="0"/>
        <v>2939.7</v>
      </c>
      <c r="L37" s="28">
        <v>2500</v>
      </c>
      <c r="M37" s="46">
        <v>1800</v>
      </c>
      <c r="N37" s="3" t="s">
        <v>29</v>
      </c>
      <c r="O37" s="28"/>
      <c r="P37" t="s">
        <v>61</v>
      </c>
    </row>
    <row r="38" spans="1:16" x14ac:dyDescent="0.25">
      <c r="A38" s="29"/>
      <c r="C38" s="1"/>
      <c r="D38" s="1"/>
      <c r="F38" s="1"/>
      <c r="G38" s="12"/>
      <c r="H38" s="1"/>
      <c r="I38" s="6"/>
      <c r="J38" s="1"/>
      <c r="K38" s="56"/>
      <c r="L38" s="1"/>
      <c r="M38" s="28"/>
      <c r="N38" s="44" t="s">
        <v>30</v>
      </c>
      <c r="O38" s="45">
        <f>SUM(O3:O37)</f>
        <v>9</v>
      </c>
      <c r="P38" s="8" t="s">
        <v>31</v>
      </c>
    </row>
    <row r="39" spans="1:16" ht="16.5" thickBot="1" x14ac:dyDescent="0.3">
      <c r="A39" s="29"/>
      <c r="C39" s="1"/>
      <c r="D39" s="1"/>
      <c r="F39" s="5"/>
      <c r="G39" s="5"/>
      <c r="H39" s="5"/>
      <c r="I39" s="6"/>
      <c r="J39" s="1"/>
      <c r="K39" s="56"/>
      <c r="L39" s="1"/>
      <c r="M39" s="1"/>
      <c r="N39" s="1"/>
    </row>
    <row r="40" spans="1:16" s="63" customFormat="1" ht="31.5" thickTop="1" thickBot="1" x14ac:dyDescent="0.3">
      <c r="A40" s="61" t="s">
        <v>60</v>
      </c>
      <c r="B40" s="62"/>
      <c r="C40" s="62"/>
      <c r="D40" s="62"/>
      <c r="F40" s="62"/>
      <c r="G40" s="62"/>
      <c r="H40" s="62"/>
      <c r="I40" s="64"/>
      <c r="J40" s="62"/>
      <c r="K40" s="62"/>
      <c r="L40" s="62"/>
      <c r="O40" s="62"/>
    </row>
    <row r="41" spans="1:16" ht="16.5" thickTop="1" x14ac:dyDescent="0.25">
      <c r="A41" t="s">
        <v>74</v>
      </c>
      <c r="B41" s="33">
        <v>2</v>
      </c>
      <c r="C41" s="59">
        <v>1</v>
      </c>
      <c r="D41" s="33">
        <v>60</v>
      </c>
      <c r="E41" s="43" t="s">
        <v>17</v>
      </c>
      <c r="F41" s="33">
        <v>0</v>
      </c>
      <c r="G41" s="59">
        <v>5</v>
      </c>
      <c r="H41" s="33">
        <v>1</v>
      </c>
      <c r="I41" s="66" t="s">
        <v>73</v>
      </c>
      <c r="J41" s="33">
        <v>2868</v>
      </c>
      <c r="K41" s="57">
        <f t="shared" ref="K41:K49" si="2">410*J41/400</f>
        <v>2939.7</v>
      </c>
      <c r="L41" s="33">
        <v>2500</v>
      </c>
      <c r="M41" s="36">
        <v>2400</v>
      </c>
      <c r="N41" s="36" t="s">
        <v>28</v>
      </c>
      <c r="O41" s="59">
        <v>1</v>
      </c>
    </row>
    <row r="42" spans="1:16" x14ac:dyDescent="0.25">
      <c r="A42" s="80" t="s">
        <v>76</v>
      </c>
      <c r="B42" s="46">
        <v>2</v>
      </c>
      <c r="C42" s="46">
        <v>2</v>
      </c>
      <c r="D42" s="46">
        <v>60</v>
      </c>
      <c r="E42" s="67" t="s">
        <v>17</v>
      </c>
      <c r="F42" s="46">
        <v>0</v>
      </c>
      <c r="G42" s="46">
        <v>5</v>
      </c>
      <c r="H42" s="46">
        <v>1</v>
      </c>
      <c r="I42" s="70" t="s">
        <v>73</v>
      </c>
      <c r="J42" s="46">
        <v>2868</v>
      </c>
      <c r="K42" s="69">
        <f t="shared" si="2"/>
        <v>2939.7</v>
      </c>
      <c r="L42" s="46">
        <v>2500</v>
      </c>
      <c r="M42" s="65" t="s">
        <v>78</v>
      </c>
      <c r="N42" s="65" t="s">
        <v>28</v>
      </c>
      <c r="O42" s="46"/>
    </row>
    <row r="43" spans="1:16" s="34" customFormat="1" x14ac:dyDescent="0.25">
      <c r="A43" s="48" t="s">
        <v>18</v>
      </c>
      <c r="B43" s="33">
        <v>2</v>
      </c>
      <c r="C43" s="33">
        <v>4</v>
      </c>
      <c r="D43" s="33">
        <v>60</v>
      </c>
      <c r="E43" s="43" t="s">
        <v>17</v>
      </c>
      <c r="F43" s="33">
        <v>0</v>
      </c>
      <c r="G43" s="33">
        <v>5</v>
      </c>
      <c r="H43" s="33">
        <v>1</v>
      </c>
      <c r="I43" s="39" t="s">
        <v>82</v>
      </c>
      <c r="J43" s="33">
        <v>2868</v>
      </c>
      <c r="K43" s="57">
        <f t="shared" si="2"/>
        <v>2939.7</v>
      </c>
      <c r="L43" s="33">
        <v>2500</v>
      </c>
      <c r="M43" s="33" t="s">
        <v>77</v>
      </c>
      <c r="N43" s="36" t="s">
        <v>28</v>
      </c>
      <c r="O43" s="33">
        <v>1</v>
      </c>
    </row>
    <row r="44" spans="1:16" x14ac:dyDescent="0.25">
      <c r="A44" s="49"/>
      <c r="B44" s="46">
        <v>2</v>
      </c>
      <c r="C44" s="46">
        <v>5</v>
      </c>
      <c r="D44" s="46">
        <v>60</v>
      </c>
      <c r="E44" s="67" t="s">
        <v>17</v>
      </c>
      <c r="F44" s="46">
        <v>0</v>
      </c>
      <c r="G44" s="46">
        <v>5</v>
      </c>
      <c r="H44" s="46">
        <v>1</v>
      </c>
      <c r="I44" s="71" t="s">
        <v>13</v>
      </c>
      <c r="J44" s="46">
        <v>2868</v>
      </c>
      <c r="K44" s="69">
        <f t="shared" si="2"/>
        <v>2939.7</v>
      </c>
      <c r="L44" s="46">
        <v>2500</v>
      </c>
      <c r="M44" s="46" t="s">
        <v>77</v>
      </c>
      <c r="N44" s="65" t="s">
        <v>28</v>
      </c>
      <c r="O44" s="28"/>
    </row>
    <row r="45" spans="1:16" x14ac:dyDescent="0.25">
      <c r="A45" s="49"/>
      <c r="B45" s="46">
        <v>2</v>
      </c>
      <c r="C45" s="46">
        <v>6</v>
      </c>
      <c r="D45" s="46">
        <v>60</v>
      </c>
      <c r="E45" s="67" t="s">
        <v>17</v>
      </c>
      <c r="F45" s="46">
        <v>0</v>
      </c>
      <c r="G45" s="46">
        <v>5</v>
      </c>
      <c r="H45" s="46">
        <v>1</v>
      </c>
      <c r="I45" s="71" t="s">
        <v>14</v>
      </c>
      <c r="J45" s="46">
        <v>2868</v>
      </c>
      <c r="K45" s="69">
        <f t="shared" si="2"/>
        <v>2939.7</v>
      </c>
      <c r="L45" s="46">
        <v>2500</v>
      </c>
      <c r="M45" s="46" t="s">
        <v>77</v>
      </c>
      <c r="N45" s="65" t="s">
        <v>28</v>
      </c>
      <c r="O45" s="28"/>
    </row>
    <row r="46" spans="1:16" x14ac:dyDescent="0.25">
      <c r="A46" s="49"/>
      <c r="B46" s="46">
        <v>2</v>
      </c>
      <c r="C46" s="46">
        <v>7</v>
      </c>
      <c r="D46" s="46">
        <v>60</v>
      </c>
      <c r="E46" s="67" t="s">
        <v>17</v>
      </c>
      <c r="F46" s="46">
        <v>0</v>
      </c>
      <c r="G46" s="46">
        <v>5</v>
      </c>
      <c r="H46" s="46">
        <v>1</v>
      </c>
      <c r="I46" s="71" t="s">
        <v>11</v>
      </c>
      <c r="J46" s="46">
        <v>2868</v>
      </c>
      <c r="K46" s="69">
        <f t="shared" si="2"/>
        <v>2939.7</v>
      </c>
      <c r="L46" s="46">
        <v>2500</v>
      </c>
      <c r="M46" s="46" t="s">
        <v>77</v>
      </c>
      <c r="N46" s="65" t="s">
        <v>28</v>
      </c>
      <c r="O46" s="28"/>
    </row>
    <row r="47" spans="1:16" x14ac:dyDescent="0.25">
      <c r="A47" s="78"/>
      <c r="B47" s="74">
        <v>2</v>
      </c>
      <c r="C47" s="74">
        <v>8</v>
      </c>
      <c r="D47" s="74">
        <v>60</v>
      </c>
      <c r="E47" s="75" t="s">
        <v>17</v>
      </c>
      <c r="F47" s="74">
        <v>0</v>
      </c>
      <c r="G47" s="74">
        <v>5</v>
      </c>
      <c r="H47" s="74">
        <v>1</v>
      </c>
      <c r="I47" s="79" t="s">
        <v>56</v>
      </c>
      <c r="J47" s="74">
        <v>2868</v>
      </c>
      <c r="K47" s="76">
        <f t="shared" si="2"/>
        <v>2939.7</v>
      </c>
      <c r="L47" s="74">
        <v>2500</v>
      </c>
      <c r="M47" s="74" t="s">
        <v>77</v>
      </c>
      <c r="N47" s="77" t="s">
        <v>28</v>
      </c>
      <c r="O47" s="74"/>
      <c r="P47" t="s">
        <v>61</v>
      </c>
    </row>
    <row r="48" spans="1:16" x14ac:dyDescent="0.25">
      <c r="A48" s="72" t="s">
        <v>4</v>
      </c>
      <c r="B48" s="46">
        <v>2</v>
      </c>
      <c r="C48" s="46">
        <v>9</v>
      </c>
      <c r="D48" s="46">
        <v>60</v>
      </c>
      <c r="E48" s="67" t="s">
        <v>17</v>
      </c>
      <c r="F48" s="46">
        <v>0</v>
      </c>
      <c r="G48" s="65">
        <v>4</v>
      </c>
      <c r="H48" s="46">
        <v>1</v>
      </c>
      <c r="I48" s="68" t="s">
        <v>54</v>
      </c>
      <c r="J48" s="46">
        <v>2868</v>
      </c>
      <c r="K48" s="69">
        <f t="shared" si="2"/>
        <v>2939.7</v>
      </c>
      <c r="L48" s="46">
        <v>2500</v>
      </c>
      <c r="M48" s="46" t="s">
        <v>77</v>
      </c>
      <c r="N48" s="65" t="s">
        <v>28</v>
      </c>
      <c r="O48" s="46">
        <v>1</v>
      </c>
      <c r="P48" s="34"/>
    </row>
    <row r="49" spans="1:16" x14ac:dyDescent="0.25">
      <c r="A49" s="49"/>
      <c r="B49" s="28">
        <v>2</v>
      </c>
      <c r="C49" s="59">
        <v>10</v>
      </c>
      <c r="D49" s="27">
        <v>60</v>
      </c>
      <c r="E49" s="7" t="s">
        <v>17</v>
      </c>
      <c r="F49" s="27">
        <v>0</v>
      </c>
      <c r="G49" s="3">
        <v>6</v>
      </c>
      <c r="H49" s="27">
        <v>1</v>
      </c>
      <c r="I49" s="6" t="s">
        <v>54</v>
      </c>
      <c r="J49" s="27">
        <v>2868</v>
      </c>
      <c r="K49" s="69">
        <f t="shared" si="2"/>
        <v>2939.7</v>
      </c>
      <c r="L49" s="46">
        <v>2500</v>
      </c>
      <c r="M49" s="46" t="s">
        <v>77</v>
      </c>
      <c r="N49" s="65" t="s">
        <v>28</v>
      </c>
      <c r="O49" s="27"/>
    </row>
    <row r="50" spans="1:16" s="34" customFormat="1" x14ac:dyDescent="0.25">
      <c r="A50" s="48" t="s">
        <v>79</v>
      </c>
      <c r="B50" s="33">
        <v>2</v>
      </c>
      <c r="C50" s="33">
        <v>10</v>
      </c>
      <c r="D50" s="33">
        <v>60</v>
      </c>
      <c r="E50" s="43" t="s">
        <v>17</v>
      </c>
      <c r="F50" s="33">
        <v>0</v>
      </c>
      <c r="G50" s="36">
        <v>5</v>
      </c>
      <c r="H50" s="33">
        <v>1</v>
      </c>
      <c r="I50" s="38" t="s">
        <v>80</v>
      </c>
      <c r="J50" s="33">
        <v>2868</v>
      </c>
      <c r="K50" s="57">
        <v>2940</v>
      </c>
      <c r="L50" s="33">
        <v>2500</v>
      </c>
      <c r="M50" s="33" t="s">
        <v>77</v>
      </c>
      <c r="N50" s="36" t="s">
        <v>28</v>
      </c>
      <c r="O50" s="33"/>
      <c r="P50" s="34" t="s">
        <v>81</v>
      </c>
    </row>
    <row r="51" spans="1:16" x14ac:dyDescent="0.25">
      <c r="A51" s="29"/>
      <c r="B51" s="59"/>
      <c r="C51" s="59"/>
      <c r="D51" s="59"/>
      <c r="E51" s="59"/>
      <c r="F51" s="59"/>
      <c r="G51" s="59"/>
      <c r="H51" s="59"/>
      <c r="I51" s="59"/>
      <c r="J51" s="59"/>
      <c r="K51" s="59"/>
      <c r="L51" s="59"/>
      <c r="M51" s="59"/>
      <c r="N51" s="59"/>
      <c r="O51" s="59"/>
    </row>
    <row r="52" spans="1:16" x14ac:dyDescent="0.25">
      <c r="A52" s="78" t="s">
        <v>75</v>
      </c>
      <c r="B52" s="74"/>
      <c r="C52" s="73"/>
      <c r="D52" s="73"/>
      <c r="E52" s="74"/>
      <c r="F52" s="74"/>
      <c r="G52" s="74"/>
      <c r="H52" s="74"/>
      <c r="I52" s="74"/>
      <c r="J52" s="74"/>
      <c r="K52" s="74"/>
      <c r="L52" s="74"/>
      <c r="M52" s="74"/>
      <c r="N52" s="73"/>
      <c r="O52" s="74"/>
      <c r="P52" s="73"/>
    </row>
    <row r="53" spans="1:16" x14ac:dyDescent="0.25">
      <c r="A53" s="29"/>
      <c r="B53" s="59">
        <v>2</v>
      </c>
      <c r="C53" s="59">
        <v>11</v>
      </c>
      <c r="D53" s="59">
        <v>60</v>
      </c>
      <c r="E53" s="7" t="s">
        <v>75</v>
      </c>
      <c r="F53" s="59">
        <v>0</v>
      </c>
      <c r="G53" s="59">
        <v>5</v>
      </c>
      <c r="H53" s="59">
        <v>1</v>
      </c>
      <c r="I53" s="4" t="s">
        <v>73</v>
      </c>
      <c r="J53" s="59">
        <v>2868</v>
      </c>
      <c r="K53" s="69">
        <f>410*J53/400</f>
        <v>2939.7</v>
      </c>
      <c r="L53" s="59">
        <v>2500</v>
      </c>
      <c r="M53" s="46" t="s">
        <v>77</v>
      </c>
      <c r="N53" s="65" t="s">
        <v>29</v>
      </c>
      <c r="O53" s="59">
        <v>1</v>
      </c>
    </row>
    <row r="54" spans="1:16" x14ac:dyDescent="0.25">
      <c r="A54" s="29"/>
      <c r="B54" s="59"/>
      <c r="C54" s="59"/>
      <c r="D54" s="59"/>
      <c r="E54" s="59"/>
      <c r="F54" s="59"/>
      <c r="G54" s="59"/>
      <c r="H54" s="59"/>
      <c r="I54" s="59"/>
      <c r="J54" s="46"/>
      <c r="K54" s="69"/>
      <c r="L54" s="46"/>
      <c r="M54" s="46"/>
      <c r="N54" s="46"/>
      <c r="O54" s="59"/>
    </row>
    <row r="55" spans="1:16" x14ac:dyDescent="0.25">
      <c r="A55" s="29"/>
      <c r="B55" s="59"/>
      <c r="C55" s="59"/>
      <c r="D55" s="59"/>
      <c r="E55" s="59"/>
      <c r="F55" s="59"/>
      <c r="G55" s="59"/>
      <c r="H55" s="59"/>
      <c r="I55" s="59"/>
      <c r="J55" s="46"/>
      <c r="K55" s="69"/>
      <c r="L55" s="46"/>
      <c r="M55" s="46"/>
      <c r="N55" s="46"/>
      <c r="O55" s="59"/>
    </row>
    <row r="56" spans="1:16" x14ac:dyDescent="0.25">
      <c r="A56" s="11"/>
      <c r="B56" s="5"/>
      <c r="C56" s="59"/>
      <c r="D56" s="5"/>
      <c r="E56" s="10"/>
      <c r="F56" s="10"/>
      <c r="G56" s="10"/>
      <c r="H56" s="10"/>
      <c r="I56" s="10"/>
      <c r="J56" s="10"/>
      <c r="K56" s="69"/>
      <c r="L56" s="10"/>
      <c r="M56" s="11"/>
      <c r="N56" s="30" t="s">
        <v>30</v>
      </c>
      <c r="O56" s="45">
        <f>SUM(O41:O55)</f>
        <v>4</v>
      </c>
      <c r="P56" s="8" t="s">
        <v>31</v>
      </c>
    </row>
    <row r="57" spans="1:16" x14ac:dyDescent="0.25">
      <c r="A57" s="30" t="s">
        <v>25</v>
      </c>
    </row>
    <row r="58" spans="1:16" ht="31.5" x14ac:dyDescent="0.25">
      <c r="A58" s="9" t="s">
        <v>19</v>
      </c>
    </row>
  </sheetData>
  <phoneticPr fontId="8" type="noConversion"/>
  <pageMargins left="0.7" right="0.7" top="0.75" bottom="0.75" header="0.3" footer="0.3"/>
  <pageSetup scale="38"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F3E31F-F58C-423D-9139-B39F5ECB015D}">
  <sheetPr>
    <pageSetUpPr fitToPage="1"/>
  </sheetPr>
  <dimension ref="A1:P11"/>
  <sheetViews>
    <sheetView tabSelected="1" workbookViewId="0">
      <selection activeCell="G15" sqref="G15"/>
    </sheetView>
  </sheetViews>
  <sheetFormatPr defaultColWidth="8.875" defaultRowHeight="15.75" x14ac:dyDescent="0.25"/>
  <cols>
    <col min="1" max="1" width="43.125" style="9" customWidth="1"/>
    <col min="2" max="2" width="19.5" style="9" customWidth="1"/>
    <col min="3" max="3" width="9" style="60"/>
    <col min="5" max="6" width="9" style="60"/>
    <col min="10" max="10" width="11.875" bestFit="1" customWidth="1"/>
    <col min="16" max="16" width="60.125" customWidth="1"/>
  </cols>
  <sheetData>
    <row r="1" spans="1:16" s="9" customFormat="1" ht="63.75" thickBot="1" x14ac:dyDescent="0.3">
      <c r="A1" s="13" t="s">
        <v>26</v>
      </c>
      <c r="B1" s="13" t="s">
        <v>99</v>
      </c>
      <c r="C1" s="14" t="s">
        <v>68</v>
      </c>
      <c r="D1" s="13" t="s">
        <v>70</v>
      </c>
      <c r="E1" s="14" t="s">
        <v>69</v>
      </c>
      <c r="F1" s="14" t="s">
        <v>88</v>
      </c>
      <c r="G1" s="13" t="s">
        <v>5</v>
      </c>
      <c r="H1" s="13" t="s">
        <v>71</v>
      </c>
      <c r="I1" s="13" t="s">
        <v>8</v>
      </c>
      <c r="J1" s="13" t="s">
        <v>9</v>
      </c>
      <c r="K1" s="13" t="s">
        <v>1</v>
      </c>
      <c r="L1" s="13" t="s">
        <v>2</v>
      </c>
      <c r="M1" s="13" t="s">
        <v>3</v>
      </c>
      <c r="N1" s="13" t="s">
        <v>27</v>
      </c>
      <c r="O1" s="14" t="s">
        <v>93</v>
      </c>
      <c r="P1" s="13" t="s">
        <v>16</v>
      </c>
    </row>
    <row r="2" spans="1:16" ht="32.25" thickTop="1" x14ac:dyDescent="0.25">
      <c r="A2" s="49" t="s">
        <v>83</v>
      </c>
      <c r="B2" s="83">
        <v>45273</v>
      </c>
      <c r="C2" s="60">
        <v>0</v>
      </c>
      <c r="D2" s="60">
        <v>217</v>
      </c>
      <c r="E2" s="60">
        <v>103</v>
      </c>
      <c r="F2" s="60">
        <v>540</v>
      </c>
      <c r="G2" t="s">
        <v>17</v>
      </c>
      <c r="H2" s="56">
        <v>5</v>
      </c>
      <c r="I2" s="56">
        <v>1</v>
      </c>
      <c r="J2" s="6" t="s">
        <v>84</v>
      </c>
      <c r="K2" s="56">
        <v>2940</v>
      </c>
      <c r="L2" s="56">
        <v>2500</v>
      </c>
      <c r="M2" s="5">
        <v>2400</v>
      </c>
      <c r="N2" s="5" t="s">
        <v>28</v>
      </c>
      <c r="O2" s="81">
        <v>200</v>
      </c>
      <c r="P2" s="9" t="s">
        <v>85</v>
      </c>
    </row>
    <row r="3" spans="1:16" x14ac:dyDescent="0.25">
      <c r="A3" s="9" t="s">
        <v>86</v>
      </c>
      <c r="B3" s="83">
        <v>45273</v>
      </c>
      <c r="C3" s="60">
        <v>1</v>
      </c>
      <c r="D3" s="60"/>
      <c r="E3" s="60">
        <v>27</v>
      </c>
      <c r="F3" s="60">
        <v>540</v>
      </c>
      <c r="G3" t="s">
        <v>17</v>
      </c>
      <c r="H3" s="60">
        <v>5</v>
      </c>
      <c r="I3" s="60">
        <v>1</v>
      </c>
      <c r="J3" s="4" t="s">
        <v>87</v>
      </c>
      <c r="K3" s="60">
        <v>2940</v>
      </c>
      <c r="L3" s="60">
        <v>2500</v>
      </c>
      <c r="M3" s="5">
        <v>2400</v>
      </c>
      <c r="N3" s="5" t="s">
        <v>28</v>
      </c>
      <c r="O3" s="81">
        <v>200</v>
      </c>
      <c r="P3" s="9" t="s">
        <v>89</v>
      </c>
    </row>
    <row r="4" spans="1:16" ht="31.5" x14ac:dyDescent="0.25">
      <c r="A4" s="9" t="s">
        <v>90</v>
      </c>
      <c r="B4" s="83">
        <v>45273</v>
      </c>
      <c r="C4" s="60">
        <v>2</v>
      </c>
      <c r="E4" s="60">
        <v>32</v>
      </c>
      <c r="F4" s="3">
        <v>580</v>
      </c>
      <c r="G4" t="s">
        <v>17</v>
      </c>
      <c r="H4" s="60">
        <v>5</v>
      </c>
      <c r="I4" s="60">
        <v>1</v>
      </c>
      <c r="J4" s="6" t="s">
        <v>87</v>
      </c>
      <c r="K4" s="60">
        <v>2940</v>
      </c>
      <c r="L4" s="60">
        <v>2500</v>
      </c>
      <c r="M4" s="3">
        <v>2500</v>
      </c>
      <c r="N4" s="5" t="s">
        <v>28</v>
      </c>
      <c r="O4" s="81">
        <v>200</v>
      </c>
      <c r="P4" s="9" t="s">
        <v>91</v>
      </c>
    </row>
    <row r="5" spans="1:16" x14ac:dyDescent="0.25">
      <c r="A5" s="84"/>
      <c r="B5" s="84"/>
      <c r="C5" s="85"/>
      <c r="D5" s="86"/>
      <c r="E5" s="85"/>
      <c r="F5" s="85"/>
      <c r="G5" s="86"/>
      <c r="H5" s="86"/>
      <c r="I5" s="86"/>
      <c r="J5" s="86"/>
      <c r="K5" s="86"/>
      <c r="L5" s="86"/>
      <c r="M5" s="86"/>
      <c r="N5" s="86"/>
      <c r="O5" s="85"/>
      <c r="P5" s="84"/>
    </row>
    <row r="6" spans="1:16" x14ac:dyDescent="0.25">
      <c r="A6" s="49" t="s">
        <v>92</v>
      </c>
      <c r="B6" s="83">
        <v>45274</v>
      </c>
      <c r="C6" s="81">
        <v>0</v>
      </c>
      <c r="D6" s="81">
        <v>329</v>
      </c>
      <c r="E6" s="81">
        <v>104</v>
      </c>
      <c r="F6" s="81">
        <v>580</v>
      </c>
      <c r="G6" s="81" t="s">
        <v>17</v>
      </c>
      <c r="H6" s="81">
        <v>5</v>
      </c>
      <c r="I6" s="81">
        <v>1</v>
      </c>
      <c r="J6" s="6" t="s">
        <v>94</v>
      </c>
      <c r="K6" s="81">
        <v>2940</v>
      </c>
      <c r="L6" s="81">
        <v>2500</v>
      </c>
      <c r="M6" s="5">
        <v>2500</v>
      </c>
      <c r="N6" s="5" t="s">
        <v>28</v>
      </c>
      <c r="O6" s="81">
        <v>200</v>
      </c>
      <c r="P6" t="s">
        <v>95</v>
      </c>
    </row>
    <row r="7" spans="1:16" x14ac:dyDescent="0.25">
      <c r="A7" t="s">
        <v>96</v>
      </c>
      <c r="B7" s="83">
        <v>45274</v>
      </c>
      <c r="C7" s="81">
        <v>1</v>
      </c>
      <c r="D7" s="81">
        <v>274</v>
      </c>
      <c r="E7" s="81">
        <v>102</v>
      </c>
      <c r="F7" s="81">
        <v>580</v>
      </c>
      <c r="G7" s="81" t="s">
        <v>17</v>
      </c>
      <c r="H7" s="81">
        <v>4</v>
      </c>
      <c r="I7" s="81">
        <v>1</v>
      </c>
      <c r="J7" s="6" t="s">
        <v>97</v>
      </c>
      <c r="K7" s="81">
        <v>2940</v>
      </c>
      <c r="L7" s="81">
        <v>2500</v>
      </c>
      <c r="M7" s="5">
        <v>2500</v>
      </c>
      <c r="N7" s="5" t="s">
        <v>28</v>
      </c>
      <c r="O7" s="81">
        <v>200</v>
      </c>
      <c r="P7" t="s">
        <v>98</v>
      </c>
    </row>
    <row r="8" spans="1:16" ht="47.25" x14ac:dyDescent="0.25">
      <c r="A8" s="49" t="s">
        <v>100</v>
      </c>
      <c r="B8"/>
      <c r="C8" s="81"/>
      <c r="D8" s="81"/>
      <c r="E8" s="81"/>
      <c r="F8" s="81"/>
      <c r="G8" s="81"/>
      <c r="H8" s="81"/>
      <c r="I8" s="81"/>
      <c r="J8" s="6"/>
      <c r="K8" s="81"/>
      <c r="L8" s="81"/>
      <c r="M8" s="5"/>
      <c r="N8" s="5"/>
      <c r="O8" s="81"/>
    </row>
    <row r="9" spans="1:16" x14ac:dyDescent="0.25">
      <c r="A9" s="84"/>
      <c r="B9" s="84"/>
      <c r="C9" s="85"/>
      <c r="D9" s="86"/>
      <c r="E9" s="85"/>
      <c r="F9" s="85"/>
      <c r="G9" s="86"/>
      <c r="H9" s="86"/>
      <c r="I9" s="86"/>
      <c r="J9" s="86"/>
      <c r="K9" s="86"/>
      <c r="L9" s="86"/>
      <c r="M9" s="86"/>
      <c r="N9" s="86"/>
      <c r="O9" s="85"/>
      <c r="P9" s="84"/>
    </row>
    <row r="10" spans="1:16" x14ac:dyDescent="0.25">
      <c r="A10" s="9" t="s">
        <v>101</v>
      </c>
      <c r="B10" s="87">
        <v>45275</v>
      </c>
      <c r="C10" s="60">
        <v>0</v>
      </c>
      <c r="D10">
        <v>1761</v>
      </c>
      <c r="E10" s="60">
        <v>857</v>
      </c>
      <c r="F10" s="60">
        <v>580</v>
      </c>
      <c r="G10" t="s">
        <v>17</v>
      </c>
      <c r="H10">
        <v>4</v>
      </c>
      <c r="I10">
        <v>1</v>
      </c>
      <c r="J10" t="s">
        <v>97</v>
      </c>
      <c r="K10">
        <v>2940</v>
      </c>
      <c r="L10">
        <v>2500</v>
      </c>
      <c r="M10">
        <v>2500</v>
      </c>
      <c r="N10" t="s">
        <v>28</v>
      </c>
      <c r="O10">
        <v>200</v>
      </c>
      <c r="P10" t="s">
        <v>102</v>
      </c>
    </row>
    <row r="11" spans="1:16" x14ac:dyDescent="0.25">
      <c r="E11" s="88" t="s">
        <v>103</v>
      </c>
    </row>
  </sheetData>
  <pageMargins left="0.7" right="0.7" top="0.75" bottom="0.75" header="0.3" footer="0.3"/>
  <pageSetup scale="46"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7297A-1403-422D-A73D-B3B8600F5E1D}">
  <sheetPr>
    <pageSetUpPr fitToPage="1"/>
  </sheetPr>
  <dimension ref="A1:Q24"/>
  <sheetViews>
    <sheetView workbookViewId="0">
      <selection activeCell="B17" sqref="B17"/>
    </sheetView>
  </sheetViews>
  <sheetFormatPr defaultColWidth="8.875" defaultRowHeight="15.75" x14ac:dyDescent="0.25"/>
  <cols>
    <col min="1" max="1" width="33.875" customWidth="1"/>
    <col min="2" max="2" width="12.125" customWidth="1"/>
    <col min="6" max="6" width="11.5" customWidth="1"/>
    <col min="10" max="10" width="11.5" customWidth="1"/>
    <col min="16" max="16" width="55" style="91" customWidth="1"/>
  </cols>
  <sheetData>
    <row r="1" spans="1:17" s="9" customFormat="1" ht="63.75" thickBot="1" x14ac:dyDescent="0.3">
      <c r="A1" s="13" t="s">
        <v>26</v>
      </c>
      <c r="B1" s="13" t="s">
        <v>99</v>
      </c>
      <c r="C1" s="14" t="s">
        <v>68</v>
      </c>
      <c r="D1" s="13" t="s">
        <v>70</v>
      </c>
      <c r="E1" s="13" t="s">
        <v>69</v>
      </c>
      <c r="F1" s="13" t="s">
        <v>72</v>
      </c>
      <c r="G1" s="13" t="s">
        <v>5</v>
      </c>
      <c r="H1" s="13" t="s">
        <v>71</v>
      </c>
      <c r="I1" s="13" t="s">
        <v>8</v>
      </c>
      <c r="J1" s="13" t="s">
        <v>9</v>
      </c>
      <c r="K1" s="13" t="s">
        <v>1</v>
      </c>
      <c r="L1" s="13" t="s">
        <v>2</v>
      </c>
      <c r="M1" s="13" t="s">
        <v>3</v>
      </c>
      <c r="N1" s="14" t="s">
        <v>93</v>
      </c>
      <c r="O1" s="13" t="s">
        <v>27</v>
      </c>
      <c r="P1" s="90" t="s">
        <v>16</v>
      </c>
    </row>
    <row r="2" spans="1:17" ht="63.75" thickTop="1" x14ac:dyDescent="0.25">
      <c r="A2" s="49" t="s">
        <v>106</v>
      </c>
      <c r="B2" s="83">
        <v>45278</v>
      </c>
      <c r="C2" s="82">
        <v>0</v>
      </c>
      <c r="D2" s="82">
        <v>87</v>
      </c>
      <c r="E2" s="82">
        <v>84</v>
      </c>
      <c r="F2" s="82">
        <v>580</v>
      </c>
      <c r="G2" s="7" t="s">
        <v>75</v>
      </c>
      <c r="H2" s="82">
        <v>5</v>
      </c>
      <c r="I2" s="82">
        <v>1</v>
      </c>
      <c r="J2" s="4" t="s">
        <v>105</v>
      </c>
      <c r="K2" s="82">
        <v>2868</v>
      </c>
      <c r="L2" s="69">
        <f>410*K2/400</f>
        <v>2939.7</v>
      </c>
      <c r="M2" s="82">
        <v>2500</v>
      </c>
      <c r="N2" s="82">
        <v>-200</v>
      </c>
      <c r="O2" s="65" t="s">
        <v>28</v>
      </c>
      <c r="P2" s="9" t="s">
        <v>107</v>
      </c>
      <c r="Q2" t="s">
        <v>104</v>
      </c>
    </row>
    <row r="3" spans="1:17" x14ac:dyDescent="0.25">
      <c r="A3" t="s">
        <v>108</v>
      </c>
      <c r="B3" s="83">
        <v>45278</v>
      </c>
      <c r="C3" s="81">
        <v>1</v>
      </c>
      <c r="D3" s="81"/>
      <c r="E3" s="81">
        <v>120</v>
      </c>
      <c r="F3" s="89">
        <v>580</v>
      </c>
      <c r="G3" s="7" t="s">
        <v>75</v>
      </c>
      <c r="H3" s="89">
        <v>5</v>
      </c>
      <c r="I3" s="89">
        <v>1</v>
      </c>
      <c r="J3" s="6" t="s">
        <v>105</v>
      </c>
      <c r="K3" s="89">
        <v>2868</v>
      </c>
      <c r="L3" s="69">
        <f>410*K3/400</f>
        <v>2939.7</v>
      </c>
      <c r="M3" s="89">
        <v>2500</v>
      </c>
      <c r="N3" s="89">
        <v>-200</v>
      </c>
      <c r="O3" s="65" t="s">
        <v>28</v>
      </c>
      <c r="P3" s="9" t="s">
        <v>112</v>
      </c>
    </row>
    <row r="4" spans="1:17" x14ac:dyDescent="0.25">
      <c r="A4" t="s">
        <v>109</v>
      </c>
      <c r="B4" s="83">
        <v>45278</v>
      </c>
      <c r="C4" s="81">
        <v>2</v>
      </c>
      <c r="D4" s="81"/>
      <c r="E4" s="81">
        <v>71</v>
      </c>
      <c r="F4" s="89">
        <v>580</v>
      </c>
      <c r="G4" s="7" t="s">
        <v>75</v>
      </c>
      <c r="H4" s="89">
        <v>5</v>
      </c>
      <c r="I4" s="89">
        <v>1</v>
      </c>
      <c r="J4" s="6" t="s">
        <v>110</v>
      </c>
      <c r="K4" s="89">
        <v>2868</v>
      </c>
      <c r="L4" s="69">
        <f>410*K4/400</f>
        <v>2939.7</v>
      </c>
      <c r="M4" s="89">
        <v>2500</v>
      </c>
      <c r="N4" s="89">
        <v>-200</v>
      </c>
      <c r="O4" s="65" t="s">
        <v>28</v>
      </c>
      <c r="P4" s="9" t="s">
        <v>113</v>
      </c>
    </row>
    <row r="5" spans="1:17" x14ac:dyDescent="0.25">
      <c r="A5" t="s">
        <v>111</v>
      </c>
      <c r="B5" s="83">
        <v>45278</v>
      </c>
      <c r="C5" s="81">
        <v>3</v>
      </c>
      <c r="D5" s="81"/>
      <c r="E5" s="81">
        <v>112</v>
      </c>
      <c r="F5" s="89">
        <v>580</v>
      </c>
      <c r="G5" s="7" t="s">
        <v>75</v>
      </c>
      <c r="H5" s="89">
        <v>5</v>
      </c>
      <c r="I5" s="89">
        <v>1</v>
      </c>
      <c r="J5" s="6" t="s">
        <v>114</v>
      </c>
      <c r="K5" s="89">
        <v>2869</v>
      </c>
      <c r="L5" s="69">
        <f>410*K5/400</f>
        <v>2940.7249999999999</v>
      </c>
      <c r="M5" s="89">
        <v>2500</v>
      </c>
      <c r="N5" s="89">
        <v>-200</v>
      </c>
      <c r="O5" s="65" t="s">
        <v>28</v>
      </c>
      <c r="P5" s="9"/>
    </row>
    <row r="6" spans="1:17" ht="16.5" thickBot="1" x14ac:dyDescent="0.3">
      <c r="A6" t="s">
        <v>116</v>
      </c>
      <c r="B6" s="83">
        <v>45278</v>
      </c>
      <c r="C6" s="81">
        <v>4</v>
      </c>
      <c r="D6" s="81"/>
      <c r="E6" s="81">
        <v>90</v>
      </c>
      <c r="F6" s="89">
        <v>580</v>
      </c>
      <c r="G6" s="7" t="s">
        <v>75</v>
      </c>
      <c r="H6" s="89">
        <v>5</v>
      </c>
      <c r="I6" s="89">
        <v>1</v>
      </c>
      <c r="J6" s="6" t="s">
        <v>115</v>
      </c>
      <c r="K6" s="89">
        <v>2870</v>
      </c>
      <c r="L6" s="69">
        <f>410*K6/400</f>
        <v>2941.75</v>
      </c>
      <c r="M6" s="89">
        <v>2500</v>
      </c>
      <c r="N6" s="89">
        <v>-200</v>
      </c>
      <c r="O6" s="65" t="s">
        <v>28</v>
      </c>
      <c r="P6" s="9"/>
    </row>
    <row r="7" spans="1:17" s="63" customFormat="1" ht="16.5" thickTop="1" thickBot="1" x14ac:dyDescent="0.3">
      <c r="C7" s="62"/>
      <c r="D7" s="62"/>
      <c r="E7" s="62"/>
      <c r="F7" s="62"/>
      <c r="G7" s="62"/>
      <c r="H7" s="62"/>
      <c r="I7" s="62"/>
      <c r="J7" s="64"/>
      <c r="K7" s="62"/>
      <c r="L7" s="62"/>
      <c r="M7" s="62"/>
      <c r="N7" s="62"/>
      <c r="O7" s="62"/>
      <c r="P7" s="61"/>
    </row>
    <row r="8" spans="1:17" ht="16.5" thickTop="1" x14ac:dyDescent="0.25">
      <c r="A8" t="s">
        <v>117</v>
      </c>
      <c r="B8" s="93">
        <v>45281</v>
      </c>
      <c r="C8" s="81">
        <v>0</v>
      </c>
      <c r="D8" s="81"/>
      <c r="E8" s="81">
        <v>96</v>
      </c>
      <c r="F8" s="81">
        <v>580</v>
      </c>
      <c r="G8" s="81" t="s">
        <v>118</v>
      </c>
      <c r="H8" s="81">
        <v>5</v>
      </c>
      <c r="I8" s="81">
        <v>1</v>
      </c>
      <c r="J8" s="6" t="s">
        <v>110</v>
      </c>
      <c r="K8" s="81">
        <v>2870</v>
      </c>
      <c r="L8" s="81">
        <v>2940</v>
      </c>
      <c r="M8" s="5">
        <v>2500</v>
      </c>
      <c r="N8" s="81">
        <v>2500</v>
      </c>
      <c r="O8" s="3" t="s">
        <v>119</v>
      </c>
      <c r="P8" s="9"/>
    </row>
    <row r="9" spans="1:17" ht="47.25" x14ac:dyDescent="0.25">
      <c r="A9" t="s">
        <v>108</v>
      </c>
      <c r="B9" s="93">
        <v>45281</v>
      </c>
      <c r="C9" s="81">
        <v>1</v>
      </c>
      <c r="D9" s="81">
        <v>174</v>
      </c>
      <c r="E9" s="81">
        <v>112</v>
      </c>
      <c r="F9" s="81">
        <v>580</v>
      </c>
      <c r="G9" s="81" t="s">
        <v>118</v>
      </c>
      <c r="H9" s="81">
        <v>5</v>
      </c>
      <c r="I9" s="81">
        <v>1</v>
      </c>
      <c r="J9" s="6" t="s">
        <v>87</v>
      </c>
      <c r="K9" s="81">
        <v>2870</v>
      </c>
      <c r="L9" s="81">
        <v>2940</v>
      </c>
      <c r="M9" s="5">
        <v>2500</v>
      </c>
      <c r="N9" s="81">
        <v>2500</v>
      </c>
      <c r="O9" s="3" t="s">
        <v>119</v>
      </c>
      <c r="P9" s="9" t="s">
        <v>121</v>
      </c>
    </row>
    <row r="10" spans="1:17" ht="31.5" x14ac:dyDescent="0.25">
      <c r="A10" t="s">
        <v>109</v>
      </c>
      <c r="B10" s="93">
        <v>45281</v>
      </c>
      <c r="C10" s="92">
        <v>2</v>
      </c>
      <c r="D10" s="81">
        <v>175</v>
      </c>
      <c r="E10" s="81">
        <v>123</v>
      </c>
      <c r="F10" s="92">
        <v>580</v>
      </c>
      <c r="G10" s="92" t="s">
        <v>118</v>
      </c>
      <c r="H10" s="92">
        <v>5</v>
      </c>
      <c r="I10" s="92">
        <v>1</v>
      </c>
      <c r="J10" s="6" t="s">
        <v>114</v>
      </c>
      <c r="K10" s="92">
        <v>2870</v>
      </c>
      <c r="L10" s="92">
        <v>2940</v>
      </c>
      <c r="M10" s="5">
        <v>2500</v>
      </c>
      <c r="N10" s="92">
        <v>2500</v>
      </c>
      <c r="O10" s="3" t="s">
        <v>119</v>
      </c>
      <c r="P10" s="9" t="s">
        <v>122</v>
      </c>
    </row>
    <row r="11" spans="1:17" ht="47.25" x14ac:dyDescent="0.25">
      <c r="A11" t="s">
        <v>111</v>
      </c>
      <c r="B11" s="93">
        <v>45281</v>
      </c>
      <c r="C11" s="92">
        <v>3</v>
      </c>
      <c r="D11" s="81"/>
      <c r="E11" s="81">
        <v>110</v>
      </c>
      <c r="F11" s="92">
        <v>580</v>
      </c>
      <c r="G11" s="92" t="s">
        <v>118</v>
      </c>
      <c r="H11" s="92">
        <v>5</v>
      </c>
      <c r="I11" s="92">
        <v>1</v>
      </c>
      <c r="J11" s="6" t="s">
        <v>120</v>
      </c>
      <c r="K11" s="92">
        <v>2870</v>
      </c>
      <c r="L11" s="92">
        <v>2940</v>
      </c>
      <c r="M11" s="5">
        <v>2500</v>
      </c>
      <c r="N11" s="92">
        <v>2500</v>
      </c>
      <c r="O11" s="3" t="s">
        <v>119</v>
      </c>
      <c r="P11" s="9" t="s">
        <v>123</v>
      </c>
    </row>
    <row r="12" spans="1:17" x14ac:dyDescent="0.25">
      <c r="A12" t="s">
        <v>116</v>
      </c>
      <c r="B12" s="93">
        <v>45281</v>
      </c>
      <c r="C12" s="92">
        <v>4</v>
      </c>
      <c r="D12" s="81"/>
      <c r="E12" s="81">
        <v>88</v>
      </c>
      <c r="F12" s="92">
        <v>580</v>
      </c>
      <c r="G12" s="92" t="s">
        <v>118</v>
      </c>
      <c r="H12" s="92">
        <v>5</v>
      </c>
      <c r="I12" s="92">
        <v>1</v>
      </c>
      <c r="J12" s="6" t="s">
        <v>115</v>
      </c>
      <c r="K12" s="92">
        <v>2870</v>
      </c>
      <c r="L12" s="92">
        <v>2940</v>
      </c>
      <c r="M12" s="5">
        <v>2500</v>
      </c>
      <c r="N12" s="92">
        <v>2500</v>
      </c>
      <c r="O12" s="3" t="s">
        <v>119</v>
      </c>
      <c r="P12" s="9"/>
    </row>
    <row r="13" spans="1:17" x14ac:dyDescent="0.25">
      <c r="B13" s="93"/>
      <c r="C13" s="92"/>
      <c r="D13" s="81"/>
      <c r="E13" s="81"/>
      <c r="F13" s="81"/>
      <c r="G13" s="81"/>
      <c r="H13" s="81"/>
      <c r="I13" s="81"/>
      <c r="J13" s="81"/>
      <c r="K13" s="81"/>
      <c r="L13" s="81"/>
      <c r="M13" s="81"/>
      <c r="N13" s="81"/>
      <c r="O13" s="81"/>
      <c r="P13" s="9"/>
    </row>
    <row r="14" spans="1:17" x14ac:dyDescent="0.25">
      <c r="C14" s="81"/>
      <c r="D14" s="81"/>
      <c r="E14" s="81"/>
      <c r="F14" s="81"/>
      <c r="G14" s="81"/>
      <c r="H14" s="81"/>
      <c r="I14" s="81"/>
      <c r="J14" s="81"/>
      <c r="K14" s="81"/>
      <c r="L14" s="81"/>
      <c r="M14" s="81"/>
      <c r="N14" s="81"/>
      <c r="O14" s="81"/>
      <c r="P14" s="9"/>
    </row>
    <row r="15" spans="1:17" x14ac:dyDescent="0.25">
      <c r="P15" s="9"/>
    </row>
    <row r="16" spans="1:17" x14ac:dyDescent="0.25">
      <c r="P16" s="9"/>
    </row>
    <row r="17" spans="16:16" x14ac:dyDescent="0.25">
      <c r="P17" s="9"/>
    </row>
    <row r="18" spans="16:16" x14ac:dyDescent="0.25">
      <c r="P18" s="9"/>
    </row>
    <row r="19" spans="16:16" x14ac:dyDescent="0.25">
      <c r="P19" s="9"/>
    </row>
    <row r="20" spans="16:16" x14ac:dyDescent="0.25">
      <c r="P20" s="9"/>
    </row>
    <row r="21" spans="16:16" x14ac:dyDescent="0.25">
      <c r="P21" s="9"/>
    </row>
    <row r="22" spans="16:16" x14ac:dyDescent="0.25">
      <c r="P22" s="9"/>
    </row>
    <row r="23" spans="16:16" x14ac:dyDescent="0.25">
      <c r="P23" s="9"/>
    </row>
    <row r="24" spans="16:16" x14ac:dyDescent="0.25">
      <c r="P24" s="9"/>
    </row>
  </sheetData>
  <pageMargins left="0.7" right="0.7" top="0.75" bottom="0.75" header="0.3" footer="0.3"/>
  <pageSetup scale="4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4F69B-0CF7-45F1-B483-D4105585554B}">
  <dimension ref="T9:T11"/>
  <sheetViews>
    <sheetView workbookViewId="0">
      <selection activeCell="T11" sqref="T11"/>
    </sheetView>
  </sheetViews>
  <sheetFormatPr defaultColWidth="8.875" defaultRowHeight="15.75" x14ac:dyDescent="0.25"/>
  <sheetData>
    <row r="9" spans="20:20" x14ac:dyDescent="0.25">
      <c r="T9">
        <f>3.661-1.416</f>
        <v>2.2450000000000001</v>
      </c>
    </row>
    <row r="11" spans="20:20" x14ac:dyDescent="0.25">
      <c r="T11">
        <f>6.161-3.916</f>
        <v>2.2449999999999997</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 Page, Rev History</vt:lpstr>
      <vt:lpstr>FM Dust Testing</vt:lpstr>
      <vt:lpstr>Olivine 12-3 thru 12-15</vt:lpstr>
      <vt:lpstr>Al 12-18 thru 12-20</vt:lpstr>
      <vt:lpstr>Position Diagram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Kristina Davis</cp:lastModifiedBy>
  <cp:lastPrinted>2024-01-11T21:33:27Z</cp:lastPrinted>
  <dcterms:created xsi:type="dcterms:W3CDTF">2022-02-23T21:44:17Z</dcterms:created>
  <dcterms:modified xsi:type="dcterms:W3CDTF">2024-01-18T19:48:25Z</dcterms:modified>
</cp:coreProperties>
</file>