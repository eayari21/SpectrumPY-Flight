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nappmil/Desktop/IDEX/I&amp;T/Flight/Flight Laser/"/>
    </mc:Choice>
  </mc:AlternateContent>
  <xr:revisionPtr revIDLastSave="0" documentId="13_ncr:1_{C1CDE6D2-E9CC-1344-99F0-16755D2A2125}" xr6:coauthVersionLast="47" xr6:coauthVersionMax="47" xr10:uidLastSave="{00000000-0000-0000-0000-000000000000}"/>
  <bookViews>
    <workbookView xWindow="8800" yWindow="4360" windowWidth="33600" windowHeight="20540" tabRatio="719" activeTab="3" xr2:uid="{00000000-000D-0000-FFFF-FFFF00000000}"/>
  </bookViews>
  <sheets>
    <sheet name="Test Matrix" sheetId="1" r:id="rId1"/>
    <sheet name="Nominal  Configurations" sheetId="2" r:id="rId2"/>
    <sheet name="12-05-23 FM Laser Day 1" sheetId="7" r:id="rId3"/>
    <sheet name="12-06-23 FM Laser Day 2" sheetId="8" r:id="rId4"/>
    <sheet name="Target Locati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" i="8" l="1"/>
  <c r="O14" i="8"/>
  <c r="O13" i="8"/>
  <c r="O12" i="8"/>
  <c r="O11" i="8"/>
  <c r="O10" i="8"/>
  <c r="Q4" i="8"/>
  <c r="P4" i="8"/>
  <c r="P3" i="8"/>
  <c r="P10" i="7"/>
  <c r="E16" i="2"/>
  <c r="D14" i="2"/>
  <c r="E14" i="2" s="1"/>
  <c r="D13" i="2"/>
  <c r="E13" i="2" s="1"/>
  <c r="C12" i="2"/>
  <c r="D12" i="2" s="1"/>
  <c r="E12" i="2" s="1"/>
  <c r="E7" i="2"/>
  <c r="D5" i="2"/>
  <c r="E5" i="2" s="1"/>
  <c r="D4" i="2"/>
  <c r="E4" i="2" s="1"/>
  <c r="C3" i="2"/>
  <c r="D3" i="2" s="1"/>
  <c r="E3" i="2" s="1"/>
  <c r="E6" i="2" l="1"/>
  <c r="E15" i="2"/>
  <c r="Q3" i="7"/>
  <c r="R4" i="7"/>
  <c r="P13" i="7"/>
  <c r="P12" i="7"/>
  <c r="P11" i="7"/>
  <c r="Q4" i="7"/>
</calcChain>
</file>

<file path=xl/sharedStrings.xml><?xml version="1.0" encoding="utf-8"?>
<sst xmlns="http://schemas.openxmlformats.org/spreadsheetml/2006/main" count="173" uniqueCount="91">
  <si>
    <t>Laser Campaign</t>
  </si>
  <si>
    <t>Run</t>
  </si>
  <si>
    <t># of Pulses</t>
  </si>
  <si>
    <t>Temperature</t>
  </si>
  <si>
    <t>Ref. Voltage</t>
  </si>
  <si>
    <t>Target Voltage</t>
  </si>
  <si>
    <t>Detector Voltage</t>
  </si>
  <si>
    <t>GSE or Flight CSAs Used</t>
  </si>
  <si>
    <t>Duration</t>
  </si>
  <si>
    <t>Notes</t>
  </si>
  <si>
    <t>Flight</t>
  </si>
  <si>
    <t>TBD</t>
  </si>
  <si>
    <t>Rejection</t>
  </si>
  <si>
    <t>Detector</t>
  </si>
  <si>
    <t>Parabolic</t>
  </si>
  <si>
    <t>Target</t>
  </si>
  <si>
    <t>20 (RT)</t>
  </si>
  <si>
    <t xml:space="preserve">Notes: </t>
  </si>
  <si>
    <t>Impact Location (see diagram)</t>
  </si>
  <si>
    <t>Ion Grid</t>
  </si>
  <si>
    <t>CSA</t>
  </si>
  <si>
    <t>Gain</t>
  </si>
  <si>
    <t>pC/V</t>
  </si>
  <si>
    <t>Target High Range (Low Gain)</t>
  </si>
  <si>
    <t>Target Low Range (High Gain)</t>
  </si>
  <si>
    <t>open</t>
  </si>
  <si>
    <t>Gold</t>
  </si>
  <si>
    <t>Al</t>
  </si>
  <si>
    <t>Ti</t>
  </si>
  <si>
    <t>Ni</t>
  </si>
  <si>
    <t>Laser Instrument Settings</t>
  </si>
  <si>
    <t>Room Temp. Detector Voltage Sweep</t>
  </si>
  <si>
    <t>2940</t>
  </si>
  <si>
    <t>Room Temp. Detector Charge Range</t>
  </si>
  <si>
    <t>Flight Nom. Temp. Detector Charge Range</t>
  </si>
  <si>
    <t>IDEX's nominal temperature is TBD</t>
  </si>
  <si>
    <t>Total</t>
  </si>
  <si>
    <t>days</t>
  </si>
  <si>
    <t>General Notes:</t>
  </si>
  <si>
    <t>Highlighted items are the parameters being varied</t>
  </si>
  <si>
    <t>Non room temperature tests will have their thermal transistions occur overnight with testing occuring the following day.</t>
  </si>
  <si>
    <t>FM Laser Testing Categories</t>
  </si>
  <si>
    <t>Main Structure Temperature</t>
  </si>
  <si>
    <t>Impact Location (1-5)</t>
  </si>
  <si>
    <t>Azimuthal Location (1-3)</t>
  </si>
  <si>
    <t>Impact Charge Range [pC]</t>
  </si>
  <si>
    <t>Sensor Voltage</t>
  </si>
  <si>
    <t>Parabolic Grid Voltage</t>
  </si>
  <si>
    <t>AID USED</t>
  </si>
  <si>
    <t>HV Channel</t>
  </si>
  <si>
    <t>Voltage</t>
  </si>
  <si>
    <t>Detector Resistance [Mohms]</t>
  </si>
  <si>
    <t>In Parallel with 1G</t>
  </si>
  <si>
    <t>Expected Current [uA]</t>
  </si>
  <si>
    <t>infinite</t>
  </si>
  <si>
    <t>combined</t>
  </si>
  <si>
    <t>HVPSDETCUR</t>
  </si>
  <si>
    <t>HVPSNSEN</t>
  </si>
  <si>
    <t>HVPSPSEN</t>
  </si>
  <si>
    <t>Measured Current [uA]</t>
  </si>
  <si>
    <t>HV Ramp Check</t>
  </si>
  <si>
    <t>HV Nominal Values Check</t>
  </si>
  <si>
    <t>HPVSSENSNCUR</t>
  </si>
  <si>
    <t>HPVSSENSPCUR</t>
  </si>
  <si>
    <t>Noise Trigger  for above parameters:</t>
  </si>
  <si>
    <t>TOF HG max</t>
  </si>
  <si>
    <t>Threshold set to 570 = 10% over max</t>
  </si>
  <si>
    <t>#8FF63550</t>
  </si>
  <si>
    <t>Number of Events</t>
  </si>
  <si>
    <t>First 3 and then 3 more at different laser focuses, then adjusted focus and got the remaining 30 hits. Focus was at 15.47mm</t>
  </si>
  <si>
    <t>Laser Setting</t>
  </si>
  <si>
    <t xml:space="preserve">Second run, reduced laser setting to 3.5 and detector voltage to 2000V. </t>
  </si>
  <si>
    <t>2200V</t>
  </si>
  <si>
    <t>2000V</t>
  </si>
  <si>
    <t>Threshold set to 530 = 2% over max</t>
  </si>
  <si>
    <t>Threshold</t>
  </si>
  <si>
    <t>Test date December 5th, 2023</t>
  </si>
  <si>
    <t>Fourth run, increased detector voltage to 2400V</t>
  </si>
  <si>
    <t>Third run, reduced threshold to 530DN, only seeing peak at 20usecs after impact (gold?)</t>
  </si>
  <si>
    <t>2400V</t>
  </si>
  <si>
    <t>fifth run, increased laser to 4.5 and we saturated the target signal.</t>
  </si>
  <si>
    <t xml:space="preserve">Sixth run, decrease laset to 4.0 </t>
  </si>
  <si>
    <t>Temperature Base Plate</t>
  </si>
  <si>
    <t>Run 1 starting at laser setting of 3.5 and threshold of 530. Moving laser spot with mirror, turning off LN2 plate attached to instrument, defocusing laser and then refocusing with translation stage.</t>
  </si>
  <si>
    <t>Run 1 saw a lot of noise on the TOF which triggered an event. Increasing threshold to 550DN and will adjust focus for run 2</t>
  </si>
  <si>
    <t>Run 2 threshold changed to 550DN</t>
  </si>
  <si>
    <t>Run 2 more small hits on TOF and ion grid, nothing on Target</t>
  </si>
  <si>
    <t>Run3 adjusting focus, threshold same, adjusted focus back to position yesterday 16.48mm, saw everything from saturated Target LG to only Ion Grid and got some good TOFs</t>
  </si>
  <si>
    <t>Na</t>
  </si>
  <si>
    <t>K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</si>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</sst>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4" tint="0.39997558519241921"/>
        <bgColor indexed="65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4" applyNumberFormat="0" applyAlignment="0" applyProtection="0"/>
    <xf numFmtId="0" fontId="9" fillId="5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1"/>
    <xf numFmtId="14" fontId="3" fillId="0" borderId="0" xfId="1" applyNumberFormat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2" xfId="0" applyBorder="1"/>
    <xf numFmtId="0" fontId="2" fillId="2" borderId="2" xfId="0" applyFont="1" applyFill="1" applyBorder="1"/>
    <xf numFmtId="0" fontId="4" fillId="2" borderId="2" xfId="0" applyFont="1" applyFill="1" applyBorder="1"/>
    <xf numFmtId="0" fontId="2" fillId="0" borderId="0" xfId="0" applyFont="1" applyAlignment="1">
      <alignment wrapText="1"/>
    </xf>
    <xf numFmtId="0" fontId="0" fillId="0" borderId="0" xfId="0" applyBorder="1"/>
    <xf numFmtId="0" fontId="6" fillId="0" borderId="0" xfId="2" applyBorder="1"/>
    <xf numFmtId="0" fontId="8" fillId="4" borderId="4" xfId="4" applyAlignment="1">
      <alignment wrapText="1"/>
    </xf>
    <xf numFmtId="0" fontId="7" fillId="3" borderId="2" xfId="3" applyBorder="1" applyAlignment="1">
      <alignment wrapText="1"/>
    </xf>
    <xf numFmtId="0" fontId="9" fillId="5" borderId="0" xfId="5" applyBorder="1" applyAlignment="1">
      <alignment vertical="center" wrapText="1"/>
    </xf>
    <xf numFmtId="14" fontId="0" fillId="0" borderId="0" xfId="0" applyNumberFormat="1" applyBorder="1"/>
    <xf numFmtId="0" fontId="1" fillId="0" borderId="0" xfId="1" applyFont="1"/>
    <xf numFmtId="0" fontId="3" fillId="0" borderId="0" xfId="1" applyBorder="1"/>
    <xf numFmtId="0" fontId="1" fillId="0" borderId="0" xfId="1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10" fillId="0" borderId="5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0" xfId="0" applyNumberForma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2" fontId="0" fillId="0" borderId="0" xfId="0" applyNumberFormat="1"/>
    <xf numFmtId="0" fontId="0" fillId="0" borderId="0" xfId="0" applyAlignment="1">
      <alignment vertical="center"/>
    </xf>
  </cellXfs>
  <cellStyles count="6">
    <cellStyle name="60% - Accent1" xfId="5" builtinId="32"/>
    <cellStyle name="Bad" xfId="3" builtinId="27"/>
    <cellStyle name="Heading 3" xfId="2" builtinId="18"/>
    <cellStyle name="Input" xfId="4" builtinId="20"/>
    <cellStyle name="Normal" xfId="0" builtinId="0"/>
    <cellStyle name="Normal 2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zoomScale="90" zoomScaleNormal="90" workbookViewId="0">
      <pane ySplit="1" topLeftCell="A2" activePane="bottomLeft" state="frozen"/>
      <selection pane="bottomLeft" activeCell="F23" sqref="F23"/>
    </sheetView>
  </sheetViews>
  <sheetFormatPr baseColWidth="10" defaultColWidth="11.1640625" defaultRowHeight="16" x14ac:dyDescent="0.2"/>
  <cols>
    <col min="1" max="1" width="38" customWidth="1"/>
    <col min="2" max="2" width="12.5" customWidth="1"/>
    <col min="5" max="5" width="12.5" customWidth="1"/>
    <col min="6" max="6" width="15" customWidth="1"/>
    <col min="14" max="14" width="26" customWidth="1"/>
  </cols>
  <sheetData>
    <row r="1" spans="1:15" s="1" customFormat="1" ht="52" thickBot="1" x14ac:dyDescent="0.25">
      <c r="A1" s="28" t="s">
        <v>41</v>
      </c>
      <c r="B1" s="29" t="s">
        <v>0</v>
      </c>
      <c r="C1" s="28" t="s">
        <v>1</v>
      </c>
      <c r="D1" s="28" t="s">
        <v>2</v>
      </c>
      <c r="E1" s="28" t="s">
        <v>42</v>
      </c>
      <c r="F1" s="28" t="s">
        <v>43</v>
      </c>
      <c r="G1" s="28" t="s">
        <v>44</v>
      </c>
      <c r="H1" s="28" t="s">
        <v>45</v>
      </c>
      <c r="I1" s="28" t="s">
        <v>46</v>
      </c>
      <c r="J1" s="28" t="s">
        <v>47</v>
      </c>
      <c r="K1" s="28" t="s">
        <v>5</v>
      </c>
      <c r="L1" s="28" t="s">
        <v>6</v>
      </c>
      <c r="M1" s="28" t="s">
        <v>7</v>
      </c>
      <c r="N1" s="28" t="s">
        <v>8</v>
      </c>
      <c r="O1" s="28" t="s">
        <v>9</v>
      </c>
    </row>
    <row r="2" spans="1:15" ht="17" thickTop="1" x14ac:dyDescent="0.2">
      <c r="A2" s="21" t="s">
        <v>31</v>
      </c>
      <c r="B2" s="22">
        <v>1</v>
      </c>
      <c r="C2" s="22"/>
      <c r="D2" s="22">
        <v>10</v>
      </c>
      <c r="E2" s="22">
        <v>20</v>
      </c>
      <c r="F2" s="22">
        <v>3</v>
      </c>
      <c r="G2" s="22">
        <v>1</v>
      </c>
      <c r="H2" s="23" t="s">
        <v>25</v>
      </c>
      <c r="I2" s="23" t="s">
        <v>32</v>
      </c>
      <c r="J2" s="22">
        <v>2868</v>
      </c>
      <c r="K2" s="22">
        <v>2500</v>
      </c>
      <c r="L2" s="22">
        <v>2200</v>
      </c>
      <c r="M2" s="22" t="s">
        <v>10</v>
      </c>
      <c r="N2" s="24">
        <v>0.25</v>
      </c>
      <c r="O2" s="21"/>
    </row>
    <row r="3" spans="1:15" x14ac:dyDescent="0.2">
      <c r="B3" s="3">
        <v>1</v>
      </c>
      <c r="C3" s="3"/>
      <c r="D3" s="3">
        <v>10</v>
      </c>
      <c r="E3" s="3">
        <v>20</v>
      </c>
      <c r="F3" s="3">
        <v>3</v>
      </c>
      <c r="G3" s="3">
        <v>1</v>
      </c>
      <c r="H3" s="25" t="s">
        <v>25</v>
      </c>
      <c r="I3" s="25" t="s">
        <v>32</v>
      </c>
      <c r="J3" s="3">
        <v>2868</v>
      </c>
      <c r="K3" s="3">
        <v>2500</v>
      </c>
      <c r="L3" s="3">
        <v>2400</v>
      </c>
      <c r="M3" s="3" t="s">
        <v>10</v>
      </c>
      <c r="N3" s="3"/>
    </row>
    <row r="4" spans="1:15" x14ac:dyDescent="0.2">
      <c r="B4" s="3">
        <v>1</v>
      </c>
      <c r="C4" s="3"/>
      <c r="D4" s="3">
        <v>10</v>
      </c>
      <c r="E4" s="3">
        <v>20</v>
      </c>
      <c r="F4" s="3">
        <v>3</v>
      </c>
      <c r="G4" s="3">
        <v>1</v>
      </c>
      <c r="H4" s="25" t="s">
        <v>25</v>
      </c>
      <c r="I4" s="25" t="s">
        <v>32</v>
      </c>
      <c r="J4" s="3">
        <v>2868</v>
      </c>
      <c r="K4" s="3">
        <v>2500</v>
      </c>
      <c r="L4" s="3">
        <v>2600</v>
      </c>
      <c r="M4" s="3" t="s">
        <v>10</v>
      </c>
      <c r="N4" s="3"/>
    </row>
    <row r="5" spans="1:15" x14ac:dyDescent="0.2">
      <c r="B5" s="3">
        <v>1</v>
      </c>
      <c r="C5" s="3"/>
      <c r="D5" s="3">
        <v>10</v>
      </c>
      <c r="E5" s="3">
        <v>20</v>
      </c>
      <c r="F5" s="3">
        <v>3</v>
      </c>
      <c r="G5" s="3">
        <v>1</v>
      </c>
      <c r="H5" s="25" t="s">
        <v>25</v>
      </c>
      <c r="I5" s="25" t="s">
        <v>32</v>
      </c>
      <c r="J5" s="3">
        <v>2868</v>
      </c>
      <c r="K5" s="3">
        <v>2500</v>
      </c>
      <c r="L5" s="3">
        <v>2000</v>
      </c>
      <c r="M5" s="3" t="s">
        <v>10</v>
      </c>
      <c r="N5" s="3"/>
    </row>
    <row r="6" spans="1:15" x14ac:dyDescent="0.2">
      <c r="B6" s="3">
        <v>1</v>
      </c>
      <c r="C6" s="3"/>
      <c r="D6" s="3">
        <v>10</v>
      </c>
      <c r="E6" s="3">
        <v>20</v>
      </c>
      <c r="F6" s="3">
        <v>3</v>
      </c>
      <c r="G6" s="3">
        <v>1</v>
      </c>
      <c r="H6" s="25" t="s">
        <v>25</v>
      </c>
      <c r="I6" s="25" t="s">
        <v>32</v>
      </c>
      <c r="J6" s="3">
        <v>2868</v>
      </c>
      <c r="K6" s="3">
        <v>2500</v>
      </c>
      <c r="L6" s="3">
        <v>1600</v>
      </c>
      <c r="M6" s="3" t="s">
        <v>10</v>
      </c>
      <c r="N6" s="3"/>
    </row>
    <row r="7" spans="1:15" x14ac:dyDescent="0.2">
      <c r="A7" s="21" t="s">
        <v>33</v>
      </c>
      <c r="B7" s="22">
        <v>1</v>
      </c>
      <c r="C7" s="22"/>
      <c r="D7" s="22">
        <v>200</v>
      </c>
      <c r="E7" s="22">
        <v>20</v>
      </c>
      <c r="F7" s="22">
        <v>3</v>
      </c>
      <c r="G7" s="22">
        <v>1</v>
      </c>
      <c r="H7" s="23" t="s">
        <v>25</v>
      </c>
      <c r="I7" s="26" t="s">
        <v>32</v>
      </c>
      <c r="J7" s="22">
        <v>2868</v>
      </c>
      <c r="K7" s="22">
        <v>2500</v>
      </c>
      <c r="L7" s="22" t="s">
        <v>11</v>
      </c>
      <c r="M7" s="22" t="s">
        <v>10</v>
      </c>
      <c r="N7" s="24">
        <v>0.5</v>
      </c>
      <c r="O7" s="21"/>
    </row>
    <row r="8" spans="1:15" x14ac:dyDescent="0.2">
      <c r="A8" s="21" t="s">
        <v>34</v>
      </c>
      <c r="B8" s="22">
        <v>1</v>
      </c>
      <c r="C8" s="22"/>
      <c r="D8" s="22">
        <v>200</v>
      </c>
      <c r="E8" s="22" t="s">
        <v>11</v>
      </c>
      <c r="F8" s="22">
        <v>3</v>
      </c>
      <c r="G8" s="22">
        <v>1</v>
      </c>
      <c r="H8" s="23" t="s">
        <v>25</v>
      </c>
      <c r="I8" s="25" t="s">
        <v>32</v>
      </c>
      <c r="J8" s="22">
        <v>2868</v>
      </c>
      <c r="K8" s="22">
        <v>2500</v>
      </c>
      <c r="L8" s="22" t="s">
        <v>11</v>
      </c>
      <c r="M8" s="22" t="s">
        <v>10</v>
      </c>
      <c r="N8" s="24">
        <v>0.5</v>
      </c>
      <c r="O8" s="21" t="s">
        <v>35</v>
      </c>
    </row>
    <row r="9" spans="1:15" x14ac:dyDescent="0.2">
      <c r="A9" s="2"/>
      <c r="B9" s="3"/>
      <c r="C9" s="3"/>
      <c r="D9" s="3"/>
      <c r="E9" s="3"/>
      <c r="F9" s="3"/>
      <c r="G9" s="3"/>
      <c r="H9" s="25"/>
      <c r="I9" s="25"/>
      <c r="J9" s="3"/>
      <c r="K9" s="3"/>
      <c r="L9" s="3"/>
      <c r="M9" s="3"/>
      <c r="N9" s="3"/>
    </row>
    <row r="10" spans="1:15" x14ac:dyDescent="0.2">
      <c r="A10" s="2"/>
      <c r="B10" s="3"/>
      <c r="C10" s="3"/>
      <c r="D10" s="3"/>
      <c r="E10" s="3"/>
      <c r="F10" s="3"/>
      <c r="G10" s="3"/>
      <c r="H10" s="25"/>
      <c r="I10" s="25"/>
      <c r="J10" s="3"/>
      <c r="K10" s="3"/>
      <c r="L10" s="3"/>
      <c r="M10" s="3" t="s">
        <v>36</v>
      </c>
      <c r="N10" s="3">
        <v>2</v>
      </c>
      <c r="O10" t="s">
        <v>37</v>
      </c>
    </row>
    <row r="11" spans="1:15" x14ac:dyDescent="0.2">
      <c r="A11" s="2" t="s">
        <v>38</v>
      </c>
      <c r="B11" s="3"/>
      <c r="C11" s="3"/>
      <c r="D11" s="3"/>
      <c r="E11" s="3"/>
      <c r="F11" s="3"/>
      <c r="G11" s="3"/>
      <c r="H11" s="25"/>
      <c r="I11" s="25"/>
      <c r="J11" s="3"/>
      <c r="K11" s="3"/>
      <c r="L11" s="3"/>
      <c r="M11" s="3"/>
      <c r="N11" s="3"/>
    </row>
    <row r="12" spans="1:15" x14ac:dyDescent="0.2">
      <c r="A12" t="s">
        <v>39</v>
      </c>
      <c r="B12" s="3"/>
      <c r="C12" s="3"/>
      <c r="D12" s="3"/>
      <c r="H12" s="27"/>
      <c r="I12" s="27"/>
      <c r="M12" s="3"/>
      <c r="N12" s="3"/>
    </row>
    <row r="13" spans="1:15" x14ac:dyDescent="0.2">
      <c r="A13" t="s">
        <v>40</v>
      </c>
      <c r="B13" s="3"/>
      <c r="C13" s="3"/>
      <c r="D13" s="3"/>
      <c r="H13" s="27"/>
      <c r="I13" s="27"/>
      <c r="M13" s="3"/>
      <c r="N13" s="3"/>
    </row>
    <row r="14" spans="1:15" x14ac:dyDescent="0.2">
      <c r="A14" s="2"/>
      <c r="G14" s="12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zoomScale="150" zoomScaleNormal="150" workbookViewId="0">
      <selection activeCell="B23" sqref="B23"/>
    </sheetView>
  </sheetViews>
  <sheetFormatPr baseColWidth="10" defaultColWidth="8.83203125" defaultRowHeight="15" x14ac:dyDescent="0.2"/>
  <cols>
    <col min="1" max="1" width="11.6640625" style="4" customWidth="1"/>
    <col min="2" max="2" width="11.1640625" style="4" customWidth="1"/>
    <col min="3" max="3" width="10.83203125" style="4" customWidth="1"/>
    <col min="4" max="4" width="9.6640625" style="4" bestFit="1" customWidth="1"/>
    <col min="5" max="5" width="8.83203125" style="4"/>
    <col min="6" max="6" width="12.1640625" style="4" customWidth="1"/>
    <col min="7" max="10" width="9.5" style="4" bestFit="1" customWidth="1"/>
    <col min="11" max="11" width="14.1640625" style="4" bestFit="1" customWidth="1"/>
    <col min="12" max="12" width="9.5" style="4" bestFit="1" customWidth="1"/>
    <col min="13" max="16384" width="8.83203125" style="4"/>
  </cols>
  <sheetData>
    <row r="1" spans="1:12" x14ac:dyDescent="0.2">
      <c r="A1" s="18" t="s">
        <v>60</v>
      </c>
    </row>
    <row r="2" spans="1:12" ht="51" x14ac:dyDescent="0.2">
      <c r="A2" s="1" t="s">
        <v>49</v>
      </c>
      <c r="B2" t="s">
        <v>50</v>
      </c>
      <c r="C2" s="1" t="s">
        <v>51</v>
      </c>
      <c r="D2" s="1" t="s">
        <v>52</v>
      </c>
      <c r="E2" s="1" t="s">
        <v>53</v>
      </c>
      <c r="F2" s="1"/>
      <c r="G2" s="1" t="s">
        <v>59</v>
      </c>
    </row>
    <row r="3" spans="1:12" ht="16" x14ac:dyDescent="0.2">
      <c r="A3" t="s">
        <v>13</v>
      </c>
      <c r="B3">
        <v>3006</v>
      </c>
      <c r="C3">
        <f>162.7+0.112</f>
        <v>162.81199999999998</v>
      </c>
      <c r="D3">
        <f>C3*1000/(C3+1000)</f>
        <v>140.01575491137001</v>
      </c>
      <c r="E3" s="31">
        <f>B3/D3</f>
        <v>21.469012554357175</v>
      </c>
      <c r="F3" t="s">
        <v>56</v>
      </c>
      <c r="G3">
        <v>21.44</v>
      </c>
      <c r="H3" s="5"/>
      <c r="I3" s="5"/>
      <c r="J3" s="5"/>
      <c r="K3" s="5"/>
      <c r="L3" s="5"/>
    </row>
    <row r="4" spans="1:12" ht="16" x14ac:dyDescent="0.2">
      <c r="A4" t="s">
        <v>14</v>
      </c>
      <c r="B4">
        <v>3349</v>
      </c>
      <c r="C4">
        <v>410</v>
      </c>
      <c r="D4">
        <f>C4*1000/(C4+1000)</f>
        <v>290.78014184397165</v>
      </c>
      <c r="E4" s="31">
        <f>B4/D4</f>
        <v>11.517292682926829</v>
      </c>
      <c r="F4"/>
      <c r="G4"/>
    </row>
    <row r="5" spans="1:12" ht="16" x14ac:dyDescent="0.2">
      <c r="A5" t="s">
        <v>15</v>
      </c>
      <c r="B5">
        <v>2509</v>
      </c>
      <c r="C5">
        <v>50</v>
      </c>
      <c r="D5">
        <f>C5*1000/(1000+C5)</f>
        <v>47.61904761904762</v>
      </c>
      <c r="E5" s="31">
        <f>B5/D5</f>
        <v>52.689</v>
      </c>
      <c r="F5" s="31"/>
      <c r="G5"/>
    </row>
    <row r="6" spans="1:12" ht="16" x14ac:dyDescent="0.2">
      <c r="A6"/>
      <c r="B6"/>
      <c r="C6"/>
      <c r="D6" t="s">
        <v>55</v>
      </c>
      <c r="E6" s="31">
        <f>E4+E5</f>
        <v>64.206292682926829</v>
      </c>
      <c r="F6" s="31" t="s">
        <v>63</v>
      </c>
      <c r="G6">
        <v>67.739999999999995</v>
      </c>
    </row>
    <row r="7" spans="1:12" ht="16" x14ac:dyDescent="0.2">
      <c r="A7" t="s">
        <v>12</v>
      </c>
      <c r="B7">
        <v>368</v>
      </c>
      <c r="C7" t="s">
        <v>54</v>
      </c>
      <c r="D7">
        <v>1000</v>
      </c>
      <c r="E7" s="31">
        <f>B7/D7</f>
        <v>0.36799999999999999</v>
      </c>
      <c r="F7" s="31" t="s">
        <v>62</v>
      </c>
      <c r="G7">
        <v>11.4</v>
      </c>
    </row>
    <row r="8" spans="1:12" x14ac:dyDescent="0.2">
      <c r="A8" s="19"/>
      <c r="B8" s="19"/>
      <c r="C8" s="20"/>
      <c r="D8" s="20"/>
      <c r="E8" s="19"/>
      <c r="F8" s="19"/>
    </row>
    <row r="9" spans="1:12" x14ac:dyDescent="0.2">
      <c r="A9" s="19"/>
      <c r="B9" s="19"/>
      <c r="C9" s="19"/>
      <c r="D9" s="19"/>
      <c r="E9" s="19"/>
      <c r="F9" s="19"/>
    </row>
    <row r="10" spans="1:12" x14ac:dyDescent="0.2">
      <c r="A10" s="18" t="s">
        <v>61</v>
      </c>
    </row>
    <row r="11" spans="1:12" ht="51" x14ac:dyDescent="0.2">
      <c r="A11" s="1" t="s">
        <v>49</v>
      </c>
      <c r="B11" t="s">
        <v>50</v>
      </c>
      <c r="C11" s="1" t="s">
        <v>51</v>
      </c>
      <c r="D11" s="1" t="s">
        <v>52</v>
      </c>
      <c r="E11" s="1" t="s">
        <v>53</v>
      </c>
      <c r="F11" s="1"/>
      <c r="G11" s="1" t="s">
        <v>59</v>
      </c>
    </row>
    <row r="12" spans="1:12" ht="16" x14ac:dyDescent="0.2">
      <c r="A12" t="s">
        <v>13</v>
      </c>
      <c r="B12">
        <v>2002</v>
      </c>
      <c r="C12">
        <f>162.7+0.112</f>
        <v>162.81199999999998</v>
      </c>
      <c r="D12">
        <f>C12*1000/(C12+1000)</f>
        <v>140.01575491137001</v>
      </c>
      <c r="E12" s="31">
        <f>B12/D12</f>
        <v>14.298390929415524</v>
      </c>
      <c r="F12" t="s">
        <v>56</v>
      </c>
      <c r="G12">
        <v>15.7</v>
      </c>
    </row>
    <row r="13" spans="1:12" ht="16" x14ac:dyDescent="0.2">
      <c r="A13" t="s">
        <v>14</v>
      </c>
      <c r="B13">
        <v>2946.5</v>
      </c>
      <c r="C13">
        <v>410</v>
      </c>
      <c r="D13">
        <f>C13*1000/(C13+1000)</f>
        <v>290.78014184397165</v>
      </c>
      <c r="E13" s="31">
        <f>B13/D13</f>
        <v>10.133085365853658</v>
      </c>
      <c r="F13"/>
      <c r="G13"/>
    </row>
    <row r="14" spans="1:12" ht="16" x14ac:dyDescent="0.2">
      <c r="A14" t="s">
        <v>15</v>
      </c>
      <c r="B14">
        <v>2504</v>
      </c>
      <c r="C14">
        <v>50</v>
      </c>
      <c r="D14">
        <f>C14*1000/(1000+C14)</f>
        <v>47.61904761904762</v>
      </c>
      <c r="E14" s="31">
        <f>B14/D14</f>
        <v>52.583999999999996</v>
      </c>
      <c r="F14" s="31"/>
      <c r="G14"/>
    </row>
    <row r="15" spans="1:12" ht="16" x14ac:dyDescent="0.2">
      <c r="A15"/>
      <c r="B15"/>
      <c r="C15"/>
      <c r="D15" t="s">
        <v>55</v>
      </c>
      <c r="E15" s="31">
        <f>E13+E14</f>
        <v>62.717085365853656</v>
      </c>
      <c r="F15" s="31" t="s">
        <v>58</v>
      </c>
      <c r="G15"/>
    </row>
    <row r="16" spans="1:12" ht="16" x14ac:dyDescent="0.2">
      <c r="A16" t="s">
        <v>12</v>
      </c>
      <c r="B16">
        <v>198</v>
      </c>
      <c r="C16" t="s">
        <v>54</v>
      </c>
      <c r="D16">
        <v>1000</v>
      </c>
      <c r="E16" s="31">
        <f>B16/D16</f>
        <v>0.19800000000000001</v>
      </c>
      <c r="F16" t="s">
        <v>57</v>
      </c>
      <c r="G16"/>
    </row>
    <row r="17" spans="1:6" x14ac:dyDescent="0.2">
      <c r="A17" s="19"/>
      <c r="B17" s="19"/>
      <c r="C17" s="19"/>
      <c r="D17" s="19"/>
      <c r="E17" s="19"/>
      <c r="F17" s="19"/>
    </row>
    <row r="18" spans="1:6" x14ac:dyDescent="0.2">
      <c r="A18" s="19"/>
      <c r="B18" s="19"/>
      <c r="C18" s="19"/>
      <c r="D18" s="19"/>
      <c r="E18" s="19"/>
      <c r="F18" s="19"/>
    </row>
    <row r="19" spans="1:6" x14ac:dyDescent="0.2">
      <c r="A19" s="18" t="s">
        <v>64</v>
      </c>
    </row>
    <row r="20" spans="1:6" x14ac:dyDescent="0.2">
      <c r="A20" s="18" t="s">
        <v>65</v>
      </c>
      <c r="B20" s="4">
        <v>519</v>
      </c>
      <c r="C20" s="18" t="s">
        <v>72</v>
      </c>
      <c r="D20" s="18" t="s">
        <v>66</v>
      </c>
    </row>
    <row r="21" spans="1:6" x14ac:dyDescent="0.2">
      <c r="A21" s="18" t="s">
        <v>65</v>
      </c>
      <c r="B21" s="4">
        <v>520</v>
      </c>
      <c r="C21" s="18" t="s">
        <v>73</v>
      </c>
      <c r="D21" s="18" t="s">
        <v>74</v>
      </c>
    </row>
    <row r="22" spans="1:6" x14ac:dyDescent="0.2">
      <c r="A22" s="18" t="s">
        <v>65</v>
      </c>
      <c r="B22" s="4">
        <v>519</v>
      </c>
      <c r="C22" s="18" t="s">
        <v>79</v>
      </c>
      <c r="D22" s="18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E27F-18E9-4D19-B390-C8E52D32BCBD}">
  <dimension ref="A1:R16"/>
  <sheetViews>
    <sheetView zoomScale="110" zoomScaleNormal="110" workbookViewId="0">
      <selection activeCell="A35" sqref="A35"/>
    </sheetView>
  </sheetViews>
  <sheetFormatPr baseColWidth="10" defaultColWidth="11.1640625" defaultRowHeight="16" x14ac:dyDescent="0.2"/>
  <cols>
    <col min="1" max="2" width="19.5" customWidth="1"/>
    <col min="3" max="3" width="25.1640625" customWidth="1"/>
    <col min="4" max="4" width="16" customWidth="1"/>
    <col min="6" max="6" width="16" customWidth="1"/>
    <col min="8" max="8" width="12" customWidth="1"/>
    <col min="13" max="13" width="3.5" customWidth="1"/>
  </cols>
  <sheetData>
    <row r="1" spans="1:18" x14ac:dyDescent="0.2">
      <c r="A1" t="s">
        <v>76</v>
      </c>
    </row>
    <row r="2" spans="1:18" s="1" customFormat="1" ht="35" thickBot="1" x14ac:dyDescent="0.25">
      <c r="A2" s="6"/>
      <c r="B2" s="6" t="s">
        <v>1</v>
      </c>
      <c r="C2" s="7" t="s">
        <v>3</v>
      </c>
      <c r="D2" s="7" t="s">
        <v>18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48</v>
      </c>
      <c r="J2" s="7" t="s">
        <v>68</v>
      </c>
      <c r="K2" s="7" t="s">
        <v>70</v>
      </c>
      <c r="L2" s="7" t="s">
        <v>75</v>
      </c>
      <c r="M2" s="30"/>
      <c r="N2" s="9" t="s">
        <v>20</v>
      </c>
      <c r="O2" s="10" t="s">
        <v>21</v>
      </c>
      <c r="P2" s="10"/>
      <c r="Q2"/>
    </row>
    <row r="3" spans="1:18" ht="49" thickTop="1" x14ac:dyDescent="0.2">
      <c r="A3" s="11" t="s">
        <v>30</v>
      </c>
      <c r="B3" s="11">
        <v>1</v>
      </c>
      <c r="C3" s="32" t="s">
        <v>16</v>
      </c>
      <c r="D3" s="32">
        <v>2</v>
      </c>
      <c r="E3" s="32">
        <v>2868</v>
      </c>
      <c r="F3" s="32">
        <v>2500</v>
      </c>
      <c r="G3" s="32">
        <v>2200</v>
      </c>
      <c r="H3" s="32" t="s">
        <v>10</v>
      </c>
      <c r="I3" s="32" t="s">
        <v>67</v>
      </c>
      <c r="J3" s="32">
        <v>36</v>
      </c>
      <c r="K3" s="32">
        <v>4</v>
      </c>
      <c r="L3" s="32">
        <v>570</v>
      </c>
      <c r="N3" s="14" t="s">
        <v>23</v>
      </c>
      <c r="O3" s="8">
        <v>31936.65</v>
      </c>
      <c r="P3" s="8" t="s">
        <v>22</v>
      </c>
      <c r="Q3">
        <f>0.25*O3</f>
        <v>7984.1625000000004</v>
      </c>
    </row>
    <row r="4" spans="1:18" ht="48" x14ac:dyDescent="0.2">
      <c r="B4">
        <v>2</v>
      </c>
      <c r="C4" s="32">
        <v>20</v>
      </c>
      <c r="D4" s="32">
        <v>2</v>
      </c>
      <c r="E4" s="32">
        <v>2868</v>
      </c>
      <c r="F4" s="32">
        <v>2500</v>
      </c>
      <c r="G4" s="32">
        <v>2000</v>
      </c>
      <c r="H4" s="32" t="s">
        <v>10</v>
      </c>
      <c r="I4" s="32" t="s">
        <v>67</v>
      </c>
      <c r="J4" s="32">
        <v>22</v>
      </c>
      <c r="K4" s="32">
        <v>3.5</v>
      </c>
      <c r="L4" s="32">
        <v>570</v>
      </c>
      <c r="N4" s="15" t="s">
        <v>24</v>
      </c>
      <c r="O4" s="8">
        <v>319.23</v>
      </c>
      <c r="P4" s="8" t="s">
        <v>22</v>
      </c>
      <c r="Q4">
        <f>O4*0.075</f>
        <v>23.942250000000001</v>
      </c>
      <c r="R4" s="2">
        <f>100/O4</f>
        <v>0.31325376687654666</v>
      </c>
    </row>
    <row r="5" spans="1:18" x14ac:dyDescent="0.2">
      <c r="B5">
        <v>3</v>
      </c>
      <c r="C5">
        <v>20</v>
      </c>
      <c r="D5">
        <v>2</v>
      </c>
      <c r="E5">
        <v>2868</v>
      </c>
      <c r="F5">
        <v>2500</v>
      </c>
      <c r="G5">
        <v>2000</v>
      </c>
      <c r="H5" t="s">
        <v>10</v>
      </c>
      <c r="I5" s="32" t="s">
        <v>67</v>
      </c>
      <c r="J5">
        <v>21</v>
      </c>
      <c r="K5">
        <v>3.5</v>
      </c>
      <c r="L5">
        <v>530</v>
      </c>
      <c r="N5" s="16" t="s">
        <v>19</v>
      </c>
      <c r="O5">
        <v>1.4990000000000001</v>
      </c>
      <c r="P5" s="8" t="s">
        <v>22</v>
      </c>
    </row>
    <row r="6" spans="1:18" x14ac:dyDescent="0.2">
      <c r="B6">
        <v>4</v>
      </c>
      <c r="C6">
        <v>20</v>
      </c>
      <c r="D6">
        <v>2</v>
      </c>
      <c r="E6">
        <v>2868</v>
      </c>
      <c r="F6">
        <v>2500</v>
      </c>
      <c r="G6">
        <v>2400</v>
      </c>
      <c r="H6" t="s">
        <v>10</v>
      </c>
      <c r="I6" s="32" t="s">
        <v>67</v>
      </c>
      <c r="J6">
        <v>25</v>
      </c>
      <c r="K6">
        <v>3.5</v>
      </c>
      <c r="L6">
        <v>530</v>
      </c>
    </row>
    <row r="7" spans="1:18" x14ac:dyDescent="0.2">
      <c r="B7">
        <v>5</v>
      </c>
      <c r="C7">
        <v>20</v>
      </c>
      <c r="D7">
        <v>2</v>
      </c>
      <c r="E7">
        <v>2868</v>
      </c>
      <c r="F7">
        <v>2500</v>
      </c>
      <c r="G7">
        <v>2400</v>
      </c>
      <c r="H7" t="s">
        <v>10</v>
      </c>
      <c r="I7" s="32" t="s">
        <v>67</v>
      </c>
      <c r="J7">
        <v>37</v>
      </c>
      <c r="K7">
        <v>4.5</v>
      </c>
      <c r="L7">
        <v>530</v>
      </c>
    </row>
    <row r="8" spans="1:18" x14ac:dyDescent="0.2">
      <c r="B8">
        <v>6</v>
      </c>
      <c r="C8">
        <v>20</v>
      </c>
      <c r="D8">
        <v>2</v>
      </c>
      <c r="E8">
        <v>2868</v>
      </c>
      <c r="F8">
        <v>2500</v>
      </c>
      <c r="G8">
        <v>2400</v>
      </c>
      <c r="H8" t="s">
        <v>10</v>
      </c>
      <c r="I8" s="32" t="s">
        <v>67</v>
      </c>
      <c r="J8">
        <v>42</v>
      </c>
      <c r="K8">
        <v>4</v>
      </c>
      <c r="L8">
        <v>530</v>
      </c>
    </row>
    <row r="9" spans="1:18" x14ac:dyDescent="0.2">
      <c r="B9">
        <v>7</v>
      </c>
      <c r="C9">
        <v>20</v>
      </c>
      <c r="D9">
        <v>2</v>
      </c>
      <c r="E9">
        <v>2868</v>
      </c>
      <c r="F9">
        <v>2500</v>
      </c>
      <c r="G9">
        <v>2400</v>
      </c>
      <c r="H9" t="s">
        <v>10</v>
      </c>
      <c r="I9" s="32" t="s">
        <v>67</v>
      </c>
      <c r="J9">
        <v>54</v>
      </c>
      <c r="K9">
        <v>3.5</v>
      </c>
      <c r="L9">
        <v>530</v>
      </c>
    </row>
    <row r="10" spans="1:18" x14ac:dyDescent="0.2">
      <c r="A10" t="s">
        <v>17</v>
      </c>
      <c r="O10" t="s">
        <v>26</v>
      </c>
      <c r="P10">
        <f>1.4*SQRT(197)</f>
        <v>19.649936386665477</v>
      </c>
    </row>
    <row r="11" spans="1:18" x14ac:dyDescent="0.2">
      <c r="A11" t="s">
        <v>69</v>
      </c>
      <c r="O11" t="s">
        <v>27</v>
      </c>
      <c r="P11">
        <f>1.4*SQRT(27)</f>
        <v>7.2746133917892841</v>
      </c>
    </row>
    <row r="12" spans="1:18" x14ac:dyDescent="0.2">
      <c r="A12" t="s">
        <v>71</v>
      </c>
      <c r="O12" t="s">
        <v>28</v>
      </c>
      <c r="P12">
        <f>1.4*SQRT(48)</f>
        <v>9.6994845223857116</v>
      </c>
    </row>
    <row r="13" spans="1:18" x14ac:dyDescent="0.2">
      <c r="A13" t="s">
        <v>78</v>
      </c>
      <c r="O13" t="s">
        <v>29</v>
      </c>
      <c r="P13">
        <f>1.4*SQRT(58.7)</f>
        <v>10.726229533251654</v>
      </c>
    </row>
    <row r="14" spans="1:18" x14ac:dyDescent="0.2">
      <c r="A14" t="s">
        <v>77</v>
      </c>
    </row>
    <row r="15" spans="1:18" x14ac:dyDescent="0.2">
      <c r="A15" t="s">
        <v>80</v>
      </c>
    </row>
    <row r="16" spans="1:18" x14ac:dyDescent="0.2">
      <c r="A16" t="s">
        <v>81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77BD-DD45-0240-BB7C-FF48FC54B898}">
  <dimension ref="A1:Q16"/>
  <sheetViews>
    <sheetView tabSelected="1" zoomScale="110" zoomScaleNormal="110" workbookViewId="0">
      <selection activeCell="M20" sqref="M20"/>
    </sheetView>
  </sheetViews>
  <sheetFormatPr baseColWidth="10" defaultColWidth="11.1640625" defaultRowHeight="16" x14ac:dyDescent="0.2"/>
  <cols>
    <col min="1" max="2" width="19.5" customWidth="1"/>
    <col min="3" max="3" width="25.1640625" customWidth="1"/>
    <col min="4" max="4" width="16" customWidth="1"/>
    <col min="6" max="6" width="16" customWidth="1"/>
    <col min="8" max="8" width="12" customWidth="1"/>
    <col min="12" max="12" width="3.5" customWidth="1"/>
  </cols>
  <sheetData>
    <row r="1" spans="1:17" x14ac:dyDescent="0.2">
      <c r="A1" t="s">
        <v>76</v>
      </c>
    </row>
    <row r="2" spans="1:17" s="1" customFormat="1" ht="35" thickBot="1" x14ac:dyDescent="0.25">
      <c r="A2" s="6"/>
      <c r="B2" s="6" t="s">
        <v>1</v>
      </c>
      <c r="C2" s="7" t="s">
        <v>82</v>
      </c>
      <c r="D2" s="7" t="s">
        <v>18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68</v>
      </c>
      <c r="J2" s="7" t="s">
        <v>70</v>
      </c>
      <c r="K2" s="7" t="s">
        <v>75</v>
      </c>
      <c r="L2" s="30"/>
      <c r="M2" s="9" t="s">
        <v>20</v>
      </c>
      <c r="N2" s="10" t="s">
        <v>21</v>
      </c>
      <c r="O2" s="10"/>
      <c r="P2"/>
    </row>
    <row r="3" spans="1:17" ht="49" thickTop="1" x14ac:dyDescent="0.2">
      <c r="A3" s="11" t="s">
        <v>30</v>
      </c>
      <c r="B3" s="11">
        <v>1</v>
      </c>
      <c r="C3" s="32">
        <v>-33</v>
      </c>
      <c r="D3" s="32">
        <v>2</v>
      </c>
      <c r="E3" s="32">
        <v>2868</v>
      </c>
      <c r="F3" s="32">
        <v>2500</v>
      </c>
      <c r="G3" s="32">
        <v>2200</v>
      </c>
      <c r="H3" s="32" t="s">
        <v>10</v>
      </c>
      <c r="I3" s="32">
        <v>22</v>
      </c>
      <c r="J3" s="32">
        <v>3.5</v>
      </c>
      <c r="K3" s="32">
        <v>530</v>
      </c>
      <c r="M3" s="14" t="s">
        <v>23</v>
      </c>
      <c r="N3" s="8">
        <v>31936.65</v>
      </c>
      <c r="O3" s="8" t="s">
        <v>22</v>
      </c>
      <c r="P3">
        <f>0.25*N3</f>
        <v>7984.1625000000004</v>
      </c>
    </row>
    <row r="4" spans="1:17" ht="48" x14ac:dyDescent="0.2">
      <c r="B4">
        <v>2</v>
      </c>
      <c r="C4" s="32">
        <v>-33</v>
      </c>
      <c r="D4" s="32">
        <v>2</v>
      </c>
      <c r="E4" s="32">
        <v>2868</v>
      </c>
      <c r="F4" s="32">
        <v>2500</v>
      </c>
      <c r="G4" s="32">
        <v>2000</v>
      </c>
      <c r="H4" s="32" t="s">
        <v>10</v>
      </c>
      <c r="I4" s="32">
        <v>37</v>
      </c>
      <c r="J4" s="32">
        <v>3.5</v>
      </c>
      <c r="K4" s="32">
        <v>550</v>
      </c>
      <c r="M4" s="15" t="s">
        <v>24</v>
      </c>
      <c r="N4" s="8">
        <v>319.23</v>
      </c>
      <c r="O4" s="8" t="s">
        <v>22</v>
      </c>
      <c r="P4">
        <f>N4*0.075</f>
        <v>23.942250000000001</v>
      </c>
      <c r="Q4" s="2">
        <f>100/N4</f>
        <v>0.31325376687654666</v>
      </c>
    </row>
    <row r="5" spans="1:17" x14ac:dyDescent="0.2">
      <c r="B5">
        <v>3</v>
      </c>
      <c r="C5">
        <v>-33</v>
      </c>
      <c r="D5">
        <v>2</v>
      </c>
      <c r="E5">
        <v>2868</v>
      </c>
      <c r="F5">
        <v>2500</v>
      </c>
      <c r="G5">
        <v>2000</v>
      </c>
      <c r="H5" t="s">
        <v>10</v>
      </c>
      <c r="I5">
        <v>70</v>
      </c>
      <c r="J5">
        <v>3.5</v>
      </c>
      <c r="K5">
        <v>550</v>
      </c>
      <c r="M5" s="16" t="s">
        <v>19</v>
      </c>
      <c r="N5">
        <v>1.4990000000000001</v>
      </c>
      <c r="O5" s="8" t="s">
        <v>22</v>
      </c>
    </row>
    <row r="10" spans="1:17" x14ac:dyDescent="0.2">
      <c r="A10" t="s">
        <v>17</v>
      </c>
      <c r="N10" t="s">
        <v>26</v>
      </c>
      <c r="O10">
        <f>1.4*SQRT(197)</f>
        <v>19.649936386665477</v>
      </c>
    </row>
    <row r="11" spans="1:17" x14ac:dyDescent="0.2">
      <c r="A11" t="s">
        <v>83</v>
      </c>
      <c r="N11" t="s">
        <v>27</v>
      </c>
      <c r="O11">
        <f>1.4*SQRT(27)</f>
        <v>7.2746133917892841</v>
      </c>
    </row>
    <row r="12" spans="1:17" x14ac:dyDescent="0.2">
      <c r="A12" t="s">
        <v>84</v>
      </c>
      <c r="N12" t="s">
        <v>28</v>
      </c>
      <c r="O12">
        <f>1.4*SQRT(48)</f>
        <v>9.6994845223857116</v>
      </c>
    </row>
    <row r="13" spans="1:17" x14ac:dyDescent="0.2">
      <c r="A13" t="s">
        <v>85</v>
      </c>
      <c r="N13" t="s">
        <v>29</v>
      </c>
      <c r="O13">
        <f>1.4*SQRT(58.7)</f>
        <v>10.726229533251654</v>
      </c>
    </row>
    <row r="14" spans="1:17" x14ac:dyDescent="0.2">
      <c r="A14" t="s">
        <v>86</v>
      </c>
      <c r="N14" t="s">
        <v>88</v>
      </c>
      <c r="O14">
        <f>1.4*SQRT(23)</f>
        <v>6.7141641326378068</v>
      </c>
    </row>
    <row r="15" spans="1:17" x14ac:dyDescent="0.2">
      <c r="A15" t="s">
        <v>87</v>
      </c>
      <c r="N15" t="s">
        <v>89</v>
      </c>
      <c r="O15">
        <f>1.4*SQRT(39)</f>
        <v>8.7429971977577576</v>
      </c>
    </row>
    <row r="16" spans="1:17" x14ac:dyDescent="0.2">
      <c r="N16" t="s">
        <v>90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>
      <selection activeCell="G40" sqref="G40"/>
    </sheetView>
  </sheetViews>
  <sheetFormatPr baseColWidth="10" defaultColWidth="8.83203125" defaultRowHeight="16" x14ac:dyDescent="0.2"/>
  <cols>
    <col min="1" max="1" width="10.5" bestFit="1" customWidth="1"/>
    <col min="4" max="4" width="13.1640625" bestFit="1" customWidth="1"/>
    <col min="7" max="7" width="50.6640625" bestFit="1" customWidth="1"/>
  </cols>
  <sheetData>
    <row r="1" spans="1:10" x14ac:dyDescent="0.2">
      <c r="A1" s="13"/>
      <c r="B1" s="13"/>
      <c r="C1" s="13"/>
      <c r="D1" s="13"/>
      <c r="E1" s="13"/>
      <c r="F1" s="13"/>
      <c r="G1" s="13"/>
      <c r="H1" s="12"/>
      <c r="I1" s="12"/>
      <c r="J1" s="12"/>
    </row>
    <row r="2" spans="1:10" x14ac:dyDescent="0.2">
      <c r="A2" s="17"/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">
      <c r="A5" s="17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x14ac:dyDescent="0.2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Matrix</vt:lpstr>
      <vt:lpstr>Nominal  Configurations</vt:lpstr>
      <vt:lpstr>12-05-23 FM Laser Day 1</vt:lpstr>
      <vt:lpstr>12-06-23 FM Laser Day 2</vt:lpstr>
      <vt:lpstr>Target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2022-10-18T17:00:57Z</dcterms:created>
  <dcterms:modified xsi:type="dcterms:W3CDTF">2023-12-19T17:52:11Z</dcterms:modified>
</cp:coreProperties>
</file>